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f8e707f0e4e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Sign-off" sheetId="1" r:id="R791b7909a80f44b9"/>
    <x:sheet xmlns:r="http://schemas.openxmlformats.org/officeDocument/2006/relationships" name="Decision Matrix" sheetId="2" r:id="R9a880bfa7bad42db"/>
    <x:sheet xmlns:r="http://schemas.openxmlformats.org/officeDocument/2006/relationships" name="Role Model &amp; Findings" sheetId="3" r:id="Rffa9491a7aa5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554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  <x:font>
      <x:b/>
      <x:sz val="10"/>
      <x:color rgb="FF475569"/>
      <x:name val="Carlito"/>
    </x:font>
    <x:font>
      <x:b/>
      <x:sz val="10"/>
      <x:color rgb="FF172554"/>
      <x:name val="Carlito"/>
    </x:font>
    <x:font>
      <x:b/>
      <x:sz val="10"/>
      <x:color rgb="FF0F172A"/>
      <x:name val="Carlito"/>
    </x:font>
    <x:font>
      <x:b/>
      <x:sz val="20"/>
      <x:color rgb="FFFFFFFF"/>
      <x:name val="Carlito"/>
    </x:font>
    <x:font>
      <x:sz val="11"/>
      <x:color rgb="FF172554"/>
      <x:name val="Carlito"/>
    </x:font>
    <x:font>
      <x:b/>
      <x:sz val="11"/>
      <x:color rgb="FF475569"/>
      <x:name val="Carlito"/>
    </x:font>
    <x:font>
      <x:b/>
      <x:sz val="14"/>
      <x:color rgb="FF172554"/>
      <x:name val="Carlito"/>
    </x:font>
    <x:font>
      <x:sz val="11"/>
      <x:color rgb="FF7C2D12"/>
      <x:name val="Carlito"/>
    </x:font>
    <x:font>
      <x:b/>
      <x:sz val="14"/>
      <x:color rgb="FFFFFFFF"/>
      <x:name val="Carlito"/>
    </x:font>
    <x:font>
      <x:b/>
      <x:sz val="11"/>
      <x:color rgb="FF17255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475569"/>
      </x:patternFill>
    </x:fill>
    <x:fill>
      <x:patternFill patternType="solid">
        <x:fgColor rgb="FFEFF6FF"/>
      </x:patternFill>
    </x:fill>
    <x:fill>
      <x:patternFill patternType="solid">
        <x:fgColor rgb="FFF1F5F9"/>
      </x:patternFill>
    </x:fill>
    <x:fill>
      <x:patternFill patternType="solid">
        <x:fgColor rgb="FFB91C1C"/>
      </x:patternFill>
    </x:fill>
    <x:fill>
      <x:patternFill patternType="solid">
        <x:fgColor rgb="FFFFF7ED"/>
      </x:patternFill>
    </x:fill>
  </x:fills>
  <x:borders count="8">
    <x:border/>
    <x:border>
      <x:bottom style="medium">
        <x:color rgb="FF172554"/>
      </x:bottom>
    </x:border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thin">
        <x:color rgb="FFFED7AA"/>
      </x:bottom>
    </x:border>
    <x:border>
      <x:top style="thin">
        <x:color rgb="FFFED7AA"/>
      </x:top>
      <x:bottom style="thin">
        <x:color rgb="FFFED7AA"/>
      </x:bottom>
    </x:border>
    <x:border>
      <x:top style="thin">
        <x:color rgb="FFFED7AA"/>
      </x:top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7" fillId="0" borderId="4" xfId="0" applyNumberFormat="1" applyFont="1" applyFill="1" applyBorder="1" applyAlignment="1">
      <x:alignment vertical="top" wrapText="1"/>
    </x:xf>
    <x:xf numFmtId="0" fontId="8" fillId="0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4" xfId="0" applyNumberFormat="1" applyFont="1" applyFill="1" applyBorder="1"/>
    <x:xf numFmtId="0" fontId="11" fillId="6" borderId="2" xfId="0" applyNumberFormat="1" applyFont="1" applyFill="1" applyBorder="1"/>
    <x:xf numFmtId="0" fontId="11" fillId="6" borderId="3" xfId="0" applyNumberFormat="1" applyFont="1" applyFill="1" applyBorder="1"/>
    <x:xf numFmtId="0" fontId="11" fillId="6" borderId="4" xfId="0" applyNumberFormat="1" applyFont="1" applyFill="1" applyBorder="1"/>
    <x:xf numFmtId="0" fontId="12" fillId="0" borderId="2" xfId="0" applyNumberFormat="1" applyFont="1" applyFill="1" applyBorder="1"/>
    <x:xf numFmtId="0" fontId="12" fillId="0" borderId="3" xfId="0" applyNumberFormat="1" applyFont="1" applyFill="1" applyBorder="1"/>
    <x:xf numFmtId="0" fontId="12" fillId="0" borderId="4" xfId="0" applyNumberFormat="1" applyFont="1" applyFill="1" applyBorder="1"/>
    <x:xf numFmtId="200" fontId="12" fillId="0" borderId="3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13" fillId="8" borderId="0" xfId="0" applyNumberFormat="1" applyFont="1" applyFill="1" applyBorder="1"/>
    <x:xf numFmtId="0" fontId="13" fillId="8" borderId="5" xfId="0" applyNumberFormat="1" applyFont="1" applyFill="1" applyBorder="1"/>
    <x:xf numFmtId="0" fontId="13" fillId="8" borderId="6" xfId="0" applyNumberFormat="1" applyFont="1" applyFill="1" applyBorder="1"/>
    <x:xf numFmtId="0" fontId="13" fillId="8" borderId="7" xfId="0" applyNumberFormat="1" applyFont="1" applyFill="1" applyBorder="1"/>
    <x:xf numFmtId="0" fontId="13" fillId="8" borderId="5" xfId="0" applyNumberFormat="1" applyFont="1" applyFill="1" applyBorder="1" applyAlignment="1">
      <x:alignment wrapText="1"/>
    </x:xf>
    <x:xf numFmtId="0" fontId="13" fillId="8" borderId="6" xfId="0" applyNumberFormat="1" applyFont="1" applyFill="1" applyBorder="1" applyAlignment="1">
      <x:alignment wrapText="1"/>
    </x:xf>
    <x:xf numFmtId="0" fontId="13" fillId="8" borderId="7" xfId="0" applyNumberFormat="1" applyFont="1" applyFill="1" applyBorder="1" applyAlignment="1">
      <x:alignment wrapText="1"/>
    </x:xf>
    <x:xf numFmtId="0" fontId="13" fillId="8" borderId="5" xfId="0" applyNumberFormat="1" applyFont="1" applyFill="1" applyBorder="1" applyAlignment="1">
      <x:alignment vertical="center" wrapText="1"/>
    </x:xf>
    <x:xf numFmtId="0" fontId="13" fillId="8" borderId="6" xfId="0" applyNumberFormat="1" applyFont="1" applyFill="1" applyBorder="1" applyAlignment="1">
      <x:alignment vertical="center" wrapText="1"/>
    </x:xf>
    <x:xf numFmtId="0" fontId="13" fillId="8" borderId="7" xfId="0" applyNumberFormat="1" applyFont="1" applyFill="1" applyBorder="1" applyAlignment="1">
      <x:alignment vertical="center" wrapText="1"/>
    </x:xf>
    <x:xf numFmtId="0" fontId="14" fillId="2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0" fillId="5" borderId="2" xfId="0" applyNumberFormat="1" applyFont="1" applyFill="1" applyBorder="1"/>
    <x:xf numFmtId="201" fontId="0" fillId="5" borderId="2" xfId="0" applyNumberFormat="1" applyFont="1" applyFill="1" applyBorder="1"/>
    <x:xf numFmtId="0" fontId="0" fillId="5" borderId="3" xfId="0" applyNumberFormat="1" applyFont="1" applyFill="1" applyBorder="1"/>
    <x:xf numFmtId="201" fontId="0" fillId="5" borderId="3" xfId="0" applyNumberFormat="1" applyFont="1" applyFill="1" applyBorder="1"/>
    <x:xf numFmtId="0" fontId="0" fillId="5" borderId="4" xfId="0" applyNumberFormat="1" applyFont="1" applyFill="1" applyBorder="1"/>
    <x:xf numFmtId="201" fontId="0" fillId="5" borderId="4" xfId="0" applyNumberFormat="1" applyFont="1" applyFill="1" applyBorder="1"/>
    <x:xf numFmtId="0" fontId="0" fillId="5" borderId="2" xfId="0" applyNumberFormat="1" applyFont="1" applyFill="1" applyBorder="1" applyAlignment="1">
      <x:alignment wrapText="1"/>
    </x:xf>
    <x:xf numFmtId="201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201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1" fontId="0" fillId="5" borderId="4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201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201" fontId="0" fillId="5" borderId="4" xfId="0" applyNumberFormat="1" applyFont="1" applyFill="1" applyBorder="1" applyAlignment="1">
      <x:alignment vertical="top" wrapText="1"/>
    </x:xf>
    <x:xf numFmtId="0" fontId="15" fillId="0" borderId="0" xfId="0" applyNumberFormat="1" applyFont="1" applyFill="1" applyBorder="1"/>
    <x:xf numFmtId="0" fontId="15" fillId="0" borderId="2" xfId="0" applyNumberFormat="1" applyFont="1" applyFill="1" applyBorder="1"/>
    <x:xf numFmtId="0" fontId="15" fillId="0" borderId="3" xfId="0" applyNumberFormat="1" applyFont="1" applyFill="1" applyBorder="1"/>
    <x:xf numFmtId="0" fontId="15" fillId="0" borderId="4" xfId="0" applyNumberFormat="1" applyFont="1" applyFill="1" applyBorder="1"/>
    <x:xf numFmtId="0" fontId="15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5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15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15" fillId="0" borderId="2" xfId="0" applyNumberFormat="1" applyFont="1" applyFill="1" applyBorder="1" applyAlignment="1">
      <x:alignment vertical="top" wrapText="1"/>
    </x:xf>
    <x:xf numFmtId="0" fontId="15" fillId="0" borderId="3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172554"/>
      </x:font>
      <x:fill>
        <x:patternFill patternType="solid">
          <x:bgColor rgb="FFDBEAFE"/>
        </x:patternFill>
      </x:fill>
    </x:dxf>
    <x:dxf>
      <x:font>
        <x:color rgb="FF15803D"/>
      </x:font>
      <x:fill>
        <x:patternFill patternType="solid">
          <x:bgColor rgb="FFDCFCE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7E22CE"/>
      </x:font>
      <x:fill>
        <x:patternFill patternType="solid">
          <x:bgColor rgb="FFF3E8FF"/>
        </x:patternFill>
      </x:fill>
    </x:dxf>
    <x:dxf>
      <x:font>
        <x:b/>
        <x:color rgb="FF2563EB"/>
      </x:font>
      <x:fill>
        <x:patternFill patternType="solid">
          <x:bgColor rgb="FFDBEAFE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color rgb="FF7E22CE"/>
      </x:font>
      <x:fill>
        <x:patternFill patternType="solid">
          <x:bgColor rgb="FFF3E8FF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72554"/>
      </x:font>
      <x:fill>
        <x:patternFill patternType="solid">
          <x:bgColor rgb="FFDBEAF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c92593133f43ac" /><Relationship Type="http://schemas.openxmlformats.org/officeDocument/2006/relationships/theme" Target="/xl/theme/theme1.xml" Id="R51e14c71f6c44ae6" /><Relationship Type="http://schemas.openxmlformats.org/officeDocument/2006/relationships/sharedStrings" Target="/xl/sharedStrings.xml" Id="Rc67c16f7bbcc46ff" /><Relationship Type="http://schemas.openxmlformats.org/officeDocument/2006/relationships/worksheet" Target="/xl/worksheets/sheet1.xml" Id="R791b7909a80f44b9" /><Relationship Type="http://schemas.openxmlformats.org/officeDocument/2006/relationships/worksheet" Target="/xl/worksheets/sheet2.xml" Id="R9a880bfa7bad42db" /><Relationship Type="http://schemas.openxmlformats.org/officeDocument/2006/relationships/worksheet" Target="/xl/worksheets/sheet3.xml" Id="Rffa9491a7aa54b71" /></Relationships>
</file>

<file path=xl/tables/table1.xml><?xml version="1.0" encoding="utf-8"?>
<x:table xmlns:x="http://schemas.openxmlformats.org/spreadsheetml/2006/main" id="1" name="PermissionDecisionTable" displayName="PermissionDecisionTable" ref="A5:R60" headerRowCount="1" totalsRowCount="0" totalsRowShown="0">
  <x:autoFilter ref="A5:R60"/>
  <x:tableColumns count="18">
    <x:tableColumn id="1" name="ID"/>
    <x:tableColumn id="2" name="Area"/>
    <x:tableColumn id="3" name="Capability"/>
    <x:tableColumn id="4" name="Method"/>
    <x:tableColumn id="5" name="Endpoint"/>
    <x:tableColumn id="6" name="PM access now"/>
    <x:tableColumn id="7" name="Lead access now"/>
    <x:tableColumn id="8" name="Effective rule"/>
    <x:tableColumn id="9" name="Authentication"/>
    <x:tableColumn id="10" name="Impact / data"/>
    <x:tableColumn id="11" name="Risk"/>
    <x:tableColumn id="12" name="Audit proposal"/>
    <x:tableColumn id="13" name="Team decision"/>
    <x:tableColumn id="14" name="Conditions / scope"/>
    <x:tableColumn id="15" name="Owner"/>
    <x:tableColumn id="16" name="Status"/>
    <x:tableColumn id="17" name="Code change likely"/>
    <x:tableColumn id="18" name="Sourc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65aa74aec874a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4" hidden="0" customWidth="1"/>
    <x:col min="4" max="4" width="16" hidden="0" customWidth="1"/>
    <x:col min="5" max="5" width="34" hidden="0" customWidth="1"/>
    <x:col min="6" max="6" width="25" hidden="0" customWidth="1"/>
    <x:col min="7" max="7" width="22" hidden="0" customWidth="1"/>
    <x:col min="8" max="8" width="34" hidden="0" customWidth="1"/>
  </x:cols>
  <x:sheetData>
    <x:row r="1" ht="38" customHeight="1">
      <x:c r="A1" s="38" t="str">
        <x:v>BARS v2 — Product Manager Permission Review</x:v>
      </x:c>
      <x:c r="B1" s="38"/>
      <x:c r="C1" s="38"/>
      <x:c r="D1" s="38"/>
      <x:c r="E1" s="38"/>
      <x:c r="F1" s="38"/>
      <x:c r="G1" s="38"/>
      <x:c r="H1" s="38"/>
    </x:row>
    <x:row r="2" ht="36" customHeight="1">
      <x:c r="A2" s="41" t="str">
        <x:v>Decision workbook for agreeing the Product Manager boundary before v2 release. Complete the blue fields in the Decision Matrix, then record final approval below.</x:v>
      </x:c>
      <x:c r="B2" s="41"/>
      <x:c r="C2" s="41"/>
      <x:c r="D2" s="41"/>
      <x:c r="E2" s="41"/>
      <x:c r="F2" s="41"/>
      <x:c r="G2" s="41"/>
      <x:c r="H2" s="41"/>
    </x:row>
    <x:row r="4">
      <x:c r="A4" s="11" t="str">
        <x:v>Review metric</x:v>
      </x:c>
      <x:c r="B4" s="11" t="str">
        <x:v>Current value</x:v>
      </x:c>
      <x:c r="D4" s="56" t="str">
        <x:v>Priority decisions before v2</x:v>
      </x:c>
      <x:c r="E4" s="56"/>
      <x:c r="F4" s="56"/>
      <x:c r="G4" s="56"/>
      <x:c r="H4" s="56"/>
    </x:row>
    <x:row r="5" ht="42" customHeight="1">
      <x:c r="A5" s="48" t="str">
        <x:v>Permission rows</x:v>
      </x:c>
      <x:c r="B5" s="51" t="n">
        <x:f>COUNTA('Decision Matrix'!$A$6:$A$60)</x:f>
        <x:v>55</x:v>
      </x:c>
      <x:c r="D5" s="65" t="str">
        <x:v>1. Can Product Managers delete accounts, including Lead Developers? Current answer: yes.</x:v>
      </x:c>
      <x:c r="E5" s="65"/>
      <x:c r="F5" s="65"/>
      <x:c r="G5" s="65"/>
      <x:c r="H5" s="65"/>
    </x:row>
    <x:row r="6" ht="42" customHeight="1">
      <x:c r="A6" s="49" t="str">
        <x:v>Decisions entered</x:v>
      </x:c>
      <x:c r="B6" s="52" t="n">
        <x:f>COUNTIF('Decision Matrix'!$M$6:$M$60,"Keep current")+COUNTIF('Decision Matrix'!$M$6:$M$60,"Allow")+COUNTIF('Decision Matrix'!$M$6:$M$60,"Deny")+COUNTIF('Decision Matrix'!$M$6:$M$60,"Conditional")+COUNTIF('Decision Matrix'!$M$6:$M$60,"Needs discussion")</x:f>
        <x:v>0</x:v>
      </x:c>
      <x:c r="D6" s="66" t="str">
        <x:v>2. Can Product Managers rotate another user's API key? Current answer: yes.</x:v>
      </x:c>
      <x:c r="E6" s="66"/>
      <x:c r="F6" s="66"/>
      <x:c r="G6" s="66"/>
      <x:c r="H6" s="66"/>
    </x:row>
    <x:row r="7" ht="42" customHeight="1">
      <x:c r="A7" s="49" t="str">
        <x:v>Open decisions</x:v>
      </x:c>
      <x:c r="B7" s="52" t="n">
        <x:f>B5-B6</x:f>
        <x:v>55</x:v>
      </x:c>
      <x:c r="D7" s="66" t="str">
        <x:v>3. Should Product Managers have arbitrary global CDN upload/delete access? Current answer: yes.</x:v>
      </x:c>
      <x:c r="E7" s="66"/>
      <x:c r="F7" s="66"/>
      <x:c r="G7" s="66"/>
      <x:c r="H7" s="66"/>
    </x:row>
    <x:row r="8" ht="42" customHeight="1">
      <x:c r="A8" s="49" t="str">
        <x:v>Decision progress</x:v>
      </x:c>
      <x:c r="B8" s="54" t="n">
        <x:f>IF(B5=0,0,B6/B5)</x:f>
        <x:v>0</x:v>
      </x:c>
      <x:c r="D8" s="66" t="str">
        <x:v>4. Should binary release publishing remain a Product Manager capability? Current answer: yes.</x:v>
      </x:c>
      <x:c r="E8" s="66"/>
      <x:c r="F8" s="66"/>
      <x:c r="G8" s="66"/>
      <x:c r="H8" s="66"/>
    </x:row>
    <x:row r="9" ht="42" customHeight="1">
      <x:c r="A9" s="49" t="str">
        <x:v>Critical/high-risk rows</x:v>
      </x:c>
      <x:c r="B9" s="52" t="n">
        <x:f>COUNTIF('Decision Matrix'!$K$6:$K$60,"Critical")+COUNTIF('Decision Matrix'!$K$6:$K$60,"High")</x:f>
        <x:v>33</x:v>
      </x:c>
      <x:c r="D9" s="67" t="str">
        <x:v>5. Should Product Managers be able to grant themselves division airport editing access? Current answer: indirectly yes.</x:v>
      </x:c>
      <x:c r="E9" s="67"/>
      <x:c r="F9" s="67"/>
      <x:c r="G9" s="67"/>
      <x:c r="H9" s="67"/>
    </x:row>
    <x:row r="10">
      <x:c r="A10" s="49" t="str">
        <x:v>Likely code changes</x:v>
      </x:c>
      <x:c r="B10" s="52" t="n">
        <x:f>COUNTIF('Decision Matrix'!$Q$6:$Q$60,"Likely")</x:f>
        <x:v>0</x:v>
      </x:c>
    </x:row>
    <x:row r="11">
      <x:c r="A11" s="50" t="str">
        <x:v>Agreed rows</x:v>
      </x:c>
      <x:c r="B11" s="53" t="n">
        <x:f>COUNTIF('Decision Matrix'!$P$6:$P$60,"Agreed")</x:f>
        <x:v>0</x:v>
      </x:c>
    </x:row>
    <x:row r="14">
      <x:c r="A14" s="68" t="str">
        <x:v>Release sign-off</x:v>
      </x:c>
      <x:c r="B14" s="68"/>
      <x:c r="C14" s="68"/>
      <x:c r="D14" s="68"/>
      <x:c r="E14" s="68"/>
      <x:c r="F14" s="68"/>
      <x:c r="G14" s="68"/>
      <x:c r="H14" s="68"/>
    </x:row>
    <x:row r="15">
      <x:c r="A15" s="69" t="str">
        <x:v>Role / team</x:v>
      </x:c>
      <x:c r="B15" s="69" t="str">
        <x:v>Name</x:v>
      </x:c>
      <x:c r="C15" s="69" t="str">
        <x:v>Approval</x:v>
      </x:c>
      <x:c r="D15" s="69" t="str">
        <x:v>Date</x:v>
      </x:c>
      <x:c r="E15" s="69" t="str">
        <x:v>Open conditions</x:v>
      </x:c>
      <x:c r="F15" s="69" t="str">
        <x:v>Linked ticket / PR</x:v>
      </x:c>
      <x:c r="G15" s="69" t="str">
        <x:v>Final reviewer</x:v>
      </x:c>
      <x:c r="H15" s="69" t="str">
        <x:v>Notes</x:v>
      </x:c>
    </x:row>
    <x:row r="16" ht="38" customHeight="1">
      <x:c r="A16" s="85" t="str">
        <x:v>Product</x:v>
      </x:c>
      <x:c r="B16" s="85" t="str"/>
      <x:c r="C16" s="85" t="str">
        <x:v>Pending</x:v>
      </x:c>
      <x:c r="D16" s="86"/>
      <x:c r="E16" s="85" t="str"/>
      <x:c r="F16" s="85" t="str"/>
      <x:c r="G16" s="85" t="str"/>
      <x:c r="H16" s="85" t="str"/>
    </x:row>
    <x:row r="17" ht="38" customHeight="1">
      <x:c r="A17" s="87" t="str">
        <x:v>Engineering</x:v>
      </x:c>
      <x:c r="B17" s="87" t="str"/>
      <x:c r="C17" s="87" t="str">
        <x:v>Pending</x:v>
      </x:c>
      <x:c r="D17" s="88"/>
      <x:c r="E17" s="87" t="str"/>
      <x:c r="F17" s="87" t="str"/>
      <x:c r="G17" s="87" t="str"/>
      <x:c r="H17" s="87" t="str"/>
    </x:row>
    <x:row r="18" ht="38" customHeight="1">
      <x:c r="A18" s="87" t="str">
        <x:v>Operations / NAV</x:v>
      </x:c>
      <x:c r="B18" s="87" t="str"/>
      <x:c r="C18" s="87" t="str">
        <x:v>Pending</x:v>
      </x:c>
      <x:c r="D18" s="88"/>
      <x:c r="E18" s="87" t="str"/>
      <x:c r="F18" s="87" t="str"/>
      <x:c r="G18" s="87" t="str"/>
      <x:c r="H18" s="87" t="str"/>
    </x:row>
    <x:row r="19" ht="38" customHeight="1">
      <x:c r="A19" s="89" t="str">
        <x:v>Release owner</x:v>
      </x:c>
      <x:c r="B19" s="89" t="str"/>
      <x:c r="C19" s="89" t="str">
        <x:v>Pending</x:v>
      </x:c>
      <x:c r="D19" s="90"/>
      <x:c r="E19" s="89" t="str"/>
      <x:c r="F19" s="89" t="str"/>
      <x:c r="G19" s="89" t="str"/>
      <x:c r="H19" s="89" t="str"/>
    </x:row>
    <x:row r="22">
      <x:c r="A22" s="11" t="str">
        <x:v>Decision options</x:v>
      </x:c>
      <x:c r="B22" s="11"/>
      <x:c r="C22" s="11"/>
      <x:c r="D22" s="11"/>
      <x:c r="E22" s="11"/>
      <x:c r="F22" s="11"/>
      <x:c r="G22" s="11"/>
      <x:c r="H22" s="11"/>
    </x:row>
    <x:row r="23" ht="54" customHeight="1">
      <x:c r="A23" s="95" t="str">
        <x:v>Keep current</x:v>
      </x:c>
      <x:c r="B23" s="96" t="str">
        <x:v>Retain the existing code-defined Product Manager access.</x:v>
      </x:c>
    </x:row>
    <x:row r="24" ht="54" customHeight="1">
      <x:c r="A24" s="97" t="str">
        <x:v>Allow</x:v>
      </x:c>
      <x:c r="B24" s="98" t="str">
        <x:v>Grant Product Managers this capability if currently denied or unclear.</x:v>
      </x:c>
    </x:row>
    <x:row r="25" ht="54" customHeight="1">
      <x:c r="A25" s="97" t="str">
        <x:v>Deny</x:v>
      </x:c>
      <x:c r="B25" s="98" t="str">
        <x:v>Remove Product Manager access; normally Lead Developer only.</x:v>
      </x:c>
    </x:row>
    <x:row r="26" ht="54" customHeight="1">
      <x:c r="A26" s="97" t="str">
        <x:v>Conditional</x:v>
      </x:c>
      <x:c r="B26" s="98" t="str">
        <x:v>Allow only with scope, confirmation, approval, logging or target-role restrictions.</x:v>
      </x:c>
    </x:row>
    <x:row r="27" ht="54" customHeight="1">
      <x:c r="A27" s="99" t="str">
        <x:v>Needs discussion</x:v>
      </x:c>
      <x:c r="B27" s="100" t="str">
        <x:v>No decision yet; document the unresolved question in Conditions / scope.</x:v>
      </x:c>
    </x:row>
  </x:sheetData>
  <x:mergeCells>
    <x:mergeCell ref="A1:H1"/>
    <x:mergeCell ref="A2:H2"/>
    <x:mergeCell ref="D4:H4"/>
    <x:mergeCell ref="D5:H5"/>
    <x:mergeCell ref="D6:H6"/>
    <x:mergeCell ref="D7:H7"/>
    <x:mergeCell ref="D8:H8"/>
    <x:mergeCell ref="D9:H9"/>
    <x:mergeCell ref="A14:H14"/>
    <x:mergeCell ref="A22:H22"/>
  </x:mergeCells>
  <x:dataValidations count="1">
    <x:dataValidation type="list" sqref="C16:C19">
      <x:formula1>"Pending,Approved,Approved with conditions,Rejected"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28" hidden="0" customWidth="1"/>
    <x:col min="4" max="4" width="11" hidden="0" customWidth="1"/>
    <x:col min="5" max="5" width="38" hidden="0" customWidth="1"/>
    <x:col min="6" max="6" width="20" hidden="0" customWidth="1"/>
    <x:col min="7" max="7" width="18" hidden="0" customWidth="1"/>
    <x:col min="8" max="8" width="34" hidden="0" customWidth="1"/>
    <x:col min="9" max="9" width="30" hidden="0" customWidth="1"/>
    <x:col min="10" max="10" width="38" hidden="0" customWidth="1"/>
    <x:col min="11" max="11" width="11" hidden="0" customWidth="1"/>
    <x:col min="12" max="12" width="52" hidden="0" customWidth="1"/>
    <x:col min="13" max="13" width="20" hidden="0" customWidth="1"/>
    <x:col min="14" max="14" width="36" hidden="0" customWidth="1"/>
    <x:col min="15" max="15" width="18" hidden="0" customWidth="1"/>
    <x:col min="16" max="16" width="15" hidden="0" customWidth="1"/>
    <x:col min="17" max="17" width="18" hidden="0" customWidth="1"/>
    <x:col min="18" max="18" width="34" hidden="0" customWidth="1"/>
  </x:cols>
  <x:sheetData>
    <x:row r="1" ht="34" customHeight="1">
      <x:c r="A1" s="3" t="str">
        <x:v>BARS v2 — Product Manager Permission Decision Matrix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8" customHeight="1">
      <x:c r="A2" s="7" t="str">
        <x:v>Team workflow: filter by area or risk, review the audit proposal, then complete Team Decision, Conditions, Owner and Status. Current access is source-audited from the feat/xplane branch on 2026-08-08.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3">
      <x:c r="A3" s="9" t="str">
        <x:v>Editable team fields are shaded pale blue. “Code change likely” is formula-driven from the selected decision.</x:v>
      </x:c>
      <x:c r="B3" s="9"/>
      <x:c r="C3" s="9"/>
      <x:c r="D3" s="9"/>
      <x:c r="E3" s="9"/>
      <x:c r="F3" s="9"/>
      <x:c r="G3" s="9"/>
      <x:c r="H3" s="9"/>
      <x:c r="I3" s="9"/>
      <x:c r="J3" s="9"/>
      <x:c r="K3" s="9"/>
      <x:c r="L3" s="9"/>
      <x:c r="M3" s="9"/>
      <x:c r="N3" s="9"/>
      <x:c r="O3" s="9"/>
      <x:c r="P3" s="9"/>
      <x:c r="Q3" s="9"/>
      <x:c r="R3" s="9"/>
    </x:row>
    <x:row r="5" ht="42" customHeight="1">
      <x:c r="A5" s="14" t="str">
        <x:v>ID</x:v>
      </x:c>
      <x:c r="B5" s="14" t="str">
        <x:v>Area</x:v>
      </x:c>
      <x:c r="C5" s="14" t="str">
        <x:v>Capability</x:v>
      </x:c>
      <x:c r="D5" s="14" t="str">
        <x:v>Method</x:v>
      </x:c>
      <x:c r="E5" s="14" t="str">
        <x:v>Endpoint</x:v>
      </x:c>
      <x:c r="F5" s="14" t="str">
        <x:v>PM access now</x:v>
      </x:c>
      <x:c r="G5" s="14" t="str">
        <x:v>Lead access now</x:v>
      </x:c>
      <x:c r="H5" s="14" t="str">
        <x:v>Effective rule</x:v>
      </x:c>
      <x:c r="I5" s="14" t="str">
        <x:v>Authentication</x:v>
      </x:c>
      <x:c r="J5" s="14" t="str">
        <x:v>Impact / data</x:v>
      </x:c>
      <x:c r="K5" s="14" t="str">
        <x:v>Risk</x:v>
      </x:c>
      <x:c r="L5" s="14" t="str">
        <x:v>Audit proposal</x:v>
      </x:c>
      <x:c r="M5" s="14" t="str">
        <x:v>Team decision</x:v>
      </x:c>
      <x:c r="N5" s="14" t="str">
        <x:v>Conditions / scope</x:v>
      </x:c>
      <x:c r="O5" s="14" t="str">
        <x:v>Owner</x:v>
      </x:c>
      <x:c r="P5" s="14" t="str">
        <x:v>Status</x:v>
      </x:c>
      <x:c r="Q5" s="14" t="str">
        <x:v>Code change likely</x:v>
      </x:c>
      <x:c r="R5" s="14" t="str">
        <x:v>Source reference</x:v>
      </x:c>
    </x:row>
    <x:row r="6" ht="58" customHeight="1">
      <x:c r="A6" s="28" t="str">
        <x:v>PM-001</x:v>
      </x:c>
      <x:c r="B6" s="22" t="str">
        <x:v>Contact</x:v>
      </x:c>
      <x:c r="C6" s="22" t="str">
        <x:v>List contact messages</x:v>
      </x:c>
      <x:c r="D6" s="31" t="str">
        <x:v>GET</x:v>
      </x:c>
      <x:c r="E6" s="22" t="str">
        <x:v>/contact</x:v>
      </x:c>
      <x:c r="F6" s="22" t="str">
        <x:v>Allowed</x:v>
      </x:c>
      <x:c r="G6" s="22" t="str">
        <x:v>Allowed</x:v>
      </x:c>
      <x:c r="H6" s="22" t="str">
        <x:v>PRODUCT_MANAGER+</x:v>
      </x:c>
      <x:c r="I6" s="22" t="str">
        <x:v>X-Vatsim-Token</x:v>
      </x:c>
      <x:c r="J6" s="22" t="str">
        <x:v>Reads submitted contact messages</x:v>
      </x:c>
      <x:c r="K6" s="34" t="str">
        <x:v>Medium</x:v>
      </x:c>
      <x:c r="L6" s="22" t="str">
        <x:v>Keep if Product Managers own support operations; confirm PII handling and logging.</x:v>
      </x:c>
      <x:c r="M6" s="25" t="str"/>
      <x:c r="N6" s="25" t="str"/>
      <x:c r="O6" s="25" t="str"/>
      <x:c r="P6" s="25" t="str">
        <x:v>Not started</x:v>
      </x:c>
      <x:c r="Q6" s="22" t="str">
        <x:f>IF(M6="","TBD",IF(M6="Keep current","No",IF(M6="Needs discussion","TBD","Likely")))</x:f>
        <x:v>TBD</x:v>
      </x:c>
      <x:c r="R6" s="22" t="str">
        <x:v>src/index.ts:570</x:v>
      </x:c>
    </x:row>
    <x:row r="7" ht="58" customHeight="1">
      <x:c r="A7" s="29" t="str">
        <x:v>PM-002</x:v>
      </x:c>
      <x:c r="B7" s="23" t="str">
        <x:v>Contact</x:v>
      </x:c>
      <x:c r="C7" s="23" t="str">
        <x:v>Change contact-message status</x:v>
      </x:c>
      <x:c r="D7" s="32" t="str">
        <x:v>PATCH</x:v>
      </x:c>
      <x:c r="E7" s="23" t="str">
        <x:v>/contact/:id/status</x:v>
      </x:c>
      <x:c r="F7" s="23" t="str">
        <x:v>Allowed</x:v>
      </x:c>
      <x:c r="G7" s="23" t="str">
        <x:v>Allowed</x:v>
      </x:c>
      <x:c r="H7" s="23" t="str">
        <x:v>PRODUCT_MANAGER+</x:v>
      </x:c>
      <x:c r="I7" s="23" t="str">
        <x:v>X-Vatsim-Token</x:v>
      </x:c>
      <x:c r="J7" s="23" t="str">
        <x:v>Changes support workflow state</x:v>
      </x:c>
      <x:c r="K7" s="35" t="str">
        <x:v>Low</x:v>
      </x:c>
      <x:c r="L7" s="23" t="str">
        <x:v>Keep for Product Managers.</x:v>
      </x:c>
      <x:c r="M7" s="26" t="str"/>
      <x:c r="N7" s="26" t="str"/>
      <x:c r="O7" s="26" t="str"/>
      <x:c r="P7" s="26" t="str">
        <x:v>Not started</x:v>
      </x:c>
      <x:c r="Q7" s="23" t="str">
        <x:f>IF(M7="","TBD",IF(M7="Keep current","No",IF(M7="Needs discussion","TBD","Likely")))</x:f>
        <x:v>TBD</x:v>
      </x:c>
      <x:c r="R7" s="23" t="str">
        <x:v>src/index.ts:635</x:v>
      </x:c>
    </x:row>
    <x:row r="8" ht="58" customHeight="1">
      <x:c r="A8" s="29" t="str">
        <x:v>PM-003</x:v>
      </x:c>
      <x:c r="B8" s="23" t="str">
        <x:v>Contact</x:v>
      </x:c>
      <x:c r="C8" s="23" t="str">
        <x:v>Delete contact messages</x:v>
      </x:c>
      <x:c r="D8" s="32" t="str">
        <x:v>DELETE</x:v>
      </x:c>
      <x:c r="E8" s="23" t="str">
        <x:v>/contact/:id</x:v>
      </x:c>
      <x:c r="F8" s="23" t="str">
        <x:v>Allowed</x:v>
      </x:c>
      <x:c r="G8" s="23" t="str">
        <x:v>Allowed</x:v>
      </x:c>
      <x:c r="H8" s="23" t="str">
        <x:v>PRODUCT_MANAGER+</x:v>
      </x:c>
      <x:c r="I8" s="23" t="str">
        <x:v>X-Vatsim-Token</x:v>
      </x:c>
      <x:c r="J8" s="23" t="str">
        <x:v>Permanently deletes support records</x:v>
      </x:c>
      <x:c r="K8" s="35" t="str">
        <x:v>Medium</x:v>
      </x:c>
      <x:c r="L8" s="23" t="str">
        <x:v>Consider soft-delete or retention rules; otherwise keep with audit logging.</x:v>
      </x:c>
      <x:c r="M8" s="26" t="str"/>
      <x:c r="N8" s="26" t="str"/>
      <x:c r="O8" s="26" t="str"/>
      <x:c r="P8" s="26" t="str">
        <x:v>Not started</x:v>
      </x:c>
      <x:c r="Q8" s="23" t="str">
        <x:f>IF(M8="","TBD",IF(M8="Keep current","No",IF(M8="Needs discussion","TBD","Likely")))</x:f>
        <x:v>TBD</x:v>
      </x:c>
      <x:c r="R8" s="23" t="str">
        <x:v>src/index.ts:696</x:v>
      </x:c>
    </x:row>
    <x:row r="9" ht="58" customHeight="1">
      <x:c r="A9" s="29" t="str">
        <x:v>PM-004</x:v>
      </x:c>
      <x:c r="B9" s="23" t="str">
        <x:v>Bans</x:v>
      </x:c>
      <x:c r="C9" s="23" t="str">
        <x:v>List bans</x:v>
      </x:c>
      <x:c r="D9" s="32" t="str">
        <x:v>GET</x:v>
      </x:c>
      <x:c r="E9" s="23" t="str">
        <x:v>/bans</x:v>
      </x:c>
      <x:c r="F9" s="23" t="str">
        <x:v>Allowed</x:v>
      </x:c>
      <x:c r="G9" s="23" t="str">
        <x:v>Allowed</x:v>
      </x:c>
      <x:c r="H9" s="23" t="str">
        <x:v>PRODUCT_MANAGER+</x:v>
      </x:c>
      <x:c r="I9" s="23" t="str">
        <x:v>X-Vatsim-Token</x:v>
      </x:c>
      <x:c r="J9" s="23" t="str">
        <x:v>Reads ban reasons and expiry data</x:v>
      </x:c>
      <x:c r="K9" s="35" t="str">
        <x:v>Medium</x:v>
      </x:c>
      <x:c r="L9" s="23" t="str">
        <x:v>Keep if moderation is a Product Manager responsibility.</x:v>
      </x:c>
      <x:c r="M9" s="26" t="str"/>
      <x:c r="N9" s="26" t="str"/>
      <x:c r="O9" s="26" t="str"/>
      <x:c r="P9" s="26" t="str">
        <x:v>Not started</x:v>
      </x:c>
      <x:c r="Q9" s="23" t="str">
        <x:f>IF(M9="","TBD",IF(M9="Keep current","No",IF(M9="Needs discussion","TBD","Likely")))</x:f>
        <x:v>TBD</x:v>
      </x:c>
      <x:c r="R9" s="23" t="str">
        <x:v>src/index.ts:1570</x:v>
      </x:c>
    </x:row>
    <x:row r="10" ht="58" customHeight="1">
      <x:c r="A10" s="29" t="str">
        <x:v>PM-005</x:v>
      </x:c>
      <x:c r="B10" s="23" t="str">
        <x:v>Bans</x:v>
      </x:c>
      <x:c r="C10" s="23" t="str">
        <x:v>Ban a user</x:v>
      </x:c>
      <x:c r="D10" s="32" t="str">
        <x:v>POST</x:v>
      </x:c>
      <x:c r="E10" s="23" t="str">
        <x:v>/bans</x:v>
      </x:c>
      <x:c r="F10" s="23" t="str">
        <x:v>Allowed with restriction</x:v>
      </x:c>
      <x:c r="G10" s="23" t="str">
        <x:v>Allowed</x:v>
      </x:c>
      <x:c r="H10" s="23" t="str">
        <x:v>PRODUCT_MANAGER+; PM cannot ban Lead Developer</x:v>
      </x:c>
      <x:c r="I10" s="23" t="str">
        <x:v>X-Vatsim-Token</x:v>
      </x:c>
      <x:c r="J10" s="23" t="str">
        <x:v>Blocks user access</x:v>
      </x:c>
      <x:c r="K10" s="35" t="str">
        <x:v>High</x:v>
      </x:c>
      <x:c r="L10" s="23" t="str">
        <x:v>Keep conditionally with reason, expiry, audit trail, and protection for equal/higher roles.</x:v>
      </x:c>
      <x:c r="M10" s="26" t="str"/>
      <x:c r="N10" s="26" t="str"/>
      <x:c r="O10" s="26" t="str"/>
      <x:c r="P10" s="26" t="str">
        <x:v>Not started</x:v>
      </x:c>
      <x:c r="Q10" s="23" t="str">
        <x:f>IF(M10="","TBD",IF(M10="Keep current","No",IF(M10="Needs discussion","TBD","Likely")))</x:f>
        <x:v>TBD</x:v>
      </x:c>
      <x:c r="R10" s="23" t="str">
        <x:v>src/index.ts:1619</x:v>
      </x:c>
    </x:row>
    <x:row r="11" ht="58" customHeight="1">
      <x:c r="A11" s="29" t="str">
        <x:v>PM-006</x:v>
      </x:c>
      <x:c r="B11" s="23" t="str">
        <x:v>Bans</x:v>
      </x:c>
      <x:c r="C11" s="23" t="str">
        <x:v>Unban a user</x:v>
      </x:c>
      <x:c r="D11" s="32" t="str">
        <x:v>DELETE</x:v>
      </x:c>
      <x:c r="E11" s="23" t="str">
        <x:v>/bans/:vatsimId</x:v>
      </x:c>
      <x:c r="F11" s="23" t="str">
        <x:v>Allowed</x:v>
      </x:c>
      <x:c r="G11" s="23" t="str">
        <x:v>Allowed</x:v>
      </x:c>
      <x:c r="H11" s="23" t="str">
        <x:v>PRODUCT_MANAGER+</x:v>
      </x:c>
      <x:c r="I11" s="23" t="str">
        <x:v>X-Vatsim-Token</x:v>
      </x:c>
      <x:c r="J11" s="23" t="str">
        <x:v>Restores user access</x:v>
      </x:c>
      <x:c r="K11" s="35" t="str">
        <x:v>Medium</x:v>
      </x:c>
      <x:c r="L11" s="23" t="str">
        <x:v>Keep conditionally; decide whether PM may reverse Lead Developer bans.</x:v>
      </x:c>
      <x:c r="M11" s="26" t="str"/>
      <x:c r="N11" s="26" t="str"/>
      <x:c r="O11" s="26" t="str"/>
      <x:c r="P11" s="26" t="str">
        <x:v>Not started</x:v>
      </x:c>
      <x:c r="Q11" s="23" t="str">
        <x:f>IF(M11="","TBD",IF(M11="Keep current","No",IF(M11="Needs discussion","TBD","Likely")))</x:f>
        <x:v>TBD</x:v>
      </x:c>
      <x:c r="R11" s="23" t="str">
        <x:v>src/index.ts:1684</x:v>
      </x:c>
    </x:row>
    <x:row r="12" ht="58" customHeight="1">
      <x:c r="A12" s="29" t="str">
        <x:v>PM-007</x:v>
      </x:c>
      <x:c r="B12" s="23" t="str">
        <x:v>Users</x:v>
      </x:c>
      <x:c r="C12" s="23" t="str">
        <x:v>List all users</x:v>
      </x:c>
      <x:c r="D12" s="32" t="str">
        <x:v>GET</x:v>
      </x:c>
      <x:c r="E12" s="23" t="str">
        <x:v>/staff/users</x:v>
      </x:c>
      <x:c r="F12" s="23" t="str">
        <x:v>Allowed</x:v>
      </x:c>
      <x:c r="G12" s="23" t="str">
        <x:v>Allowed</x:v>
      </x:c>
      <x:c r="H12" s="23" t="str">
        <x:v>PRODUCT_MANAGER+ in UserService</x:v>
      </x:c>
      <x:c r="I12" s="23" t="str">
        <x:v>X-Vatsim-Token</x:v>
      </x:c>
      <x:c r="J12" s="23" t="str">
        <x:v>Exposes email, identity, location and login metadata</x:v>
      </x:c>
      <x:c r="K12" s="35" t="str">
        <x:v>High</x:v>
      </x:c>
      <x:c r="L12" s="23" t="str">
        <x:v>Keep only if operationally required; minimize returned PII and log access.</x:v>
      </x:c>
      <x:c r="M12" s="26" t="str"/>
      <x:c r="N12" s="26" t="str"/>
      <x:c r="O12" s="26" t="str"/>
      <x:c r="P12" s="26" t="str">
        <x:v>Not started</x:v>
      </x:c>
      <x:c r="Q12" s="23" t="str">
        <x:f>IF(M12="","TBD",IF(M12="Keep current","No",IF(M12="Needs discussion","TBD","Likely")))</x:f>
        <x:v>TBD</x:v>
      </x:c>
      <x:c r="R12" s="23" t="str">
        <x:v>src/index.ts:3874; src/services/users.ts:37</x:v>
      </x:c>
    </x:row>
    <x:row r="13" ht="58" customHeight="1">
      <x:c r="A13" s="29" t="str">
        <x:v>PM-008</x:v>
      </x:c>
      <x:c r="B13" s="23" t="str">
        <x:v>Users</x:v>
      </x:c>
      <x:c r="C13" s="23" t="str">
        <x:v>Search users</x:v>
      </x:c>
      <x:c r="D13" s="32" t="str">
        <x:v>GET</x:v>
      </x:c>
      <x:c r="E13" s="23" t="str">
        <x:v>/staff/users/search</x:v>
      </x:c>
      <x:c r="F13" s="23" t="str">
        <x:v>Allowed</x:v>
      </x:c>
      <x:c r="G13" s="23" t="str">
        <x:v>Allowed</x:v>
      </x:c>
      <x:c r="H13" s="23" t="str">
        <x:v>PRODUCT_MANAGER+ in UserService</x:v>
      </x:c>
      <x:c r="I13" s="23" t="str">
        <x:v>X-Vatsim-Token</x:v>
      </x:c>
      <x:c r="J13" s="23" t="str">
        <x:v>Searches email and VATSIM ID</x:v>
      </x:c>
      <x:c r="K13" s="35" t="str">
        <x:v>High</x:v>
      </x:c>
      <x:c r="L13" s="23" t="str">
        <x:v>Keep only if operationally required; consider CID-only search and masked email.</x:v>
      </x:c>
      <x:c r="M13" s="26" t="str"/>
      <x:c r="N13" s="26" t="str"/>
      <x:c r="O13" s="26" t="str"/>
      <x:c r="P13" s="26" t="str">
        <x:v>Not started</x:v>
      </x:c>
      <x:c r="Q13" s="23" t="str">
        <x:f>IF(M13="","TBD",IF(M13="Keep current","No",IF(M13="Needs discussion","TBD","Likely")))</x:f>
        <x:v>TBD</x:v>
      </x:c>
      <x:c r="R13" s="23" t="str">
        <x:v>src/index.ts:3913; src/services/users.ts:103</x:v>
      </x:c>
    </x:row>
    <x:row r="14" ht="58" customHeight="1">
      <x:c r="A14" s="29" t="str">
        <x:v>PM-009</x:v>
      </x:c>
      <x:c r="B14" s="23" t="str">
        <x:v>Users</x:v>
      </x:c>
      <x:c r="C14" s="23" t="str">
        <x:v>Rotate another user's API key</x:v>
      </x:c>
      <x:c r="D14" s="32" t="str">
        <x:v>POST</x:v>
      </x:c>
      <x:c r="E14" s="23" t="str">
        <x:v>/staff/users/refresh-api-token</x:v>
      </x:c>
      <x:c r="F14" s="23" t="str">
        <x:v>Allowed</x:v>
      </x:c>
      <x:c r="G14" s="23" t="str">
        <x:v>Allowed</x:v>
      </x:c>
      <x:c r="H14" s="23" t="str">
        <x:v>PRODUCT_MANAGER+ in UserService</x:v>
      </x:c>
      <x:c r="I14" s="23" t="str">
        <x:v>X-Vatsim-Token</x:v>
      </x:c>
      <x:c r="J14" s="23" t="str">
        <x:v>Immediately invalidates another user's API credential; replacement is not returned by route</x:v>
      </x:c>
      <x:c r="K14" s="35" t="str">
        <x:v>High</x:v>
      </x:c>
      <x:c r="L14" s="23" t="str">
        <x:v>Move to Lead Developer or protected help-desk workflow; block equal/higher-role targets.</x:v>
      </x:c>
      <x:c r="M14" s="26" t="str"/>
      <x:c r="N14" s="26" t="str"/>
      <x:c r="O14" s="26" t="str"/>
      <x:c r="P14" s="26" t="str">
        <x:v>Not started</x:v>
      </x:c>
      <x:c r="Q14" s="23" t="str">
        <x:f>IF(M14="","TBD",IF(M14="Keep current","No",IF(M14="Needs discussion","TBD","Likely")))</x:f>
        <x:v>TBD</x:v>
      </x:c>
      <x:c r="R14" s="23" t="str">
        <x:v>src/index.ts:3962; src/services/users.ts:197</x:v>
      </x:c>
    </x:row>
    <x:row r="15" ht="58" customHeight="1">
      <x:c r="A15" s="29" t="str">
        <x:v>PM-010</x:v>
      </x:c>
      <x:c r="B15" s="23" t="str">
        <x:v>Users</x:v>
      </x:c>
      <x:c r="C15" s="23" t="str">
        <x:v>Delete any user account</x:v>
      </x:c>
      <x:c r="D15" s="32" t="str">
        <x:v>DELETE</x:v>
      </x:c>
      <x:c r="E15" s="23" t="str">
        <x:v>/staff/users/:id</x:v>
      </x:c>
      <x:c r="F15" s="23" t="str">
        <x:v>Allowed</x:v>
      </x:c>
      <x:c r="G15" s="23" t="str">
        <x:v>Allowed</x:v>
      </x:c>
      <x:c r="H15" s="23" t="str">
        <x:v>PRODUCT_MANAGER+ in UserService</x:v>
      </x:c>
      <x:c r="I15" s="23" t="str">
        <x:v>X-Vatsim-Token</x:v>
      </x:c>
      <x:c r="J15" s="23" t="str">
        <x:v>Deletes user, division membership and staff row</x:v>
      </x:c>
      <x:c r="K15" s="35" t="str">
        <x:v>Critical</x:v>
      </x:c>
      <x:c r="L15" s="23" t="str">
        <x:v>Lead Developer only; atomically protect the final Lead Developer and define self-deletion rules.</x:v>
      </x:c>
      <x:c r="M15" s="26" t="str"/>
      <x:c r="N15" s="26" t="str"/>
      <x:c r="O15" s="26" t="str"/>
      <x:c r="P15" s="26" t="str">
        <x:v>Not started</x:v>
      </x:c>
      <x:c r="Q15" s="23" t="str">
        <x:f>IF(M15="","TBD",IF(M15="Keep current","No",IF(M15="Needs discussion","TBD","Likely")))</x:f>
        <x:v>TBD</x:v>
      </x:c>
      <x:c r="R15" s="23" t="str">
        <x:v>src/index.ts:4022; src/services/users.ts:163; src/services/auth.ts:203</x:v>
      </x:c>
    </x:row>
    <x:row r="16" ht="58" customHeight="1">
      <x:c r="A16" s="29" t="str">
        <x:v>PM-011</x:v>
      </x:c>
      <x:c r="B16" s="23" t="str">
        <x:v>Divisions</x:v>
      </x:c>
      <x:c r="C16" s="23" t="str">
        <x:v>Create division</x:v>
      </x:c>
      <x:c r="D16" s="32" t="str">
        <x:v>POST</x:v>
      </x:c>
      <x:c r="E16" s="23" t="str">
        <x:v>/divisions</x:v>
      </x:c>
      <x:c r="F16" s="23" t="str">
        <x:v>Allowed</x:v>
      </x:c>
      <x:c r="G16" s="23" t="str">
        <x:v>Allowed</x:v>
      </x:c>
      <x:c r="H16" s="23" t="str">
        <x:v>PRODUCT_MANAGER+</x:v>
      </x:c>
      <x:c r="I16" s="23" t="str">
        <x:v>X-Vatsim-Token</x:v>
      </x:c>
      <x:c r="J16" s="23" t="str">
        <x:v>Creates organizational authority boundary</x:v>
      </x:c>
      <x:c r="K16" s="35" t="str">
        <x:v>Medium</x:v>
      </x:c>
      <x:c r="L16" s="23" t="str">
        <x:v>Keep for Product Managers with an audit event.</x:v>
      </x:c>
      <x:c r="M16" s="26" t="str"/>
      <x:c r="N16" s="26" t="str"/>
      <x:c r="O16" s="26" t="str"/>
      <x:c r="P16" s="26" t="str">
        <x:v>Not started</x:v>
      </x:c>
      <x:c r="Q16" s="23" t="str">
        <x:f>IF(M16="","TBD",IF(M16="Keep current","No",IF(M16="Needs discussion","TBD","Likely")))</x:f>
        <x:v>TBD</x:v>
      </x:c>
      <x:c r="R16" s="23" t="str">
        <x:v>src/index.ts:2059</x:v>
      </x:c>
    </x:row>
    <x:row r="17" ht="58" customHeight="1">
      <x:c r="A17" s="29" t="str">
        <x:v>PM-012</x:v>
      </x:c>
      <x:c r="B17" s="23" t="str">
        <x:v>Divisions</x:v>
      </x:c>
      <x:c r="C17" s="23" t="str">
        <x:v>Rename division</x:v>
      </x:c>
      <x:c r="D17" s="32" t="str">
        <x:v>PUT</x:v>
      </x:c>
      <x:c r="E17" s="23" t="str">
        <x:v>/divisions/:id</x:v>
      </x:c>
      <x:c r="F17" s="23" t="str">
        <x:v>Allowed</x:v>
      </x:c>
      <x:c r="G17" s="23" t="str">
        <x:v>Allowed</x:v>
      </x:c>
      <x:c r="H17" s="23" t="str">
        <x:v>PRODUCT_MANAGER+</x:v>
      </x:c>
      <x:c r="I17" s="23" t="str">
        <x:v>X-Vatsim-Token</x:v>
      </x:c>
      <x:c r="J17" s="23" t="str">
        <x:v>Changes division identity</x:v>
      </x:c>
      <x:c r="K17" s="35" t="str">
        <x:v>Medium</x:v>
      </x:c>
      <x:c r="L17" s="23" t="str">
        <x:v>Keep for Product Managers with an audit event.</x:v>
      </x:c>
      <x:c r="M17" s="26" t="str"/>
      <x:c r="N17" s="26" t="str"/>
      <x:c r="O17" s="26" t="str"/>
      <x:c r="P17" s="26" t="str">
        <x:v>Not started</x:v>
      </x:c>
      <x:c r="Q17" s="23" t="str">
        <x:f>IF(M17="","TBD",IF(M17="Keep current","No",IF(M17="Needs discussion","TBD","Likely")))</x:f>
        <x:v>TBD</x:v>
      </x:c>
      <x:c r="R17" s="23" t="str">
        <x:v>src/index.ts:2113</x:v>
      </x:c>
    </x:row>
    <x:row r="18" ht="58" customHeight="1">
      <x:c r="A18" s="29" t="str">
        <x:v>PM-013</x:v>
      </x:c>
      <x:c r="B18" s="23" t="str">
        <x:v>Divisions</x:v>
      </x:c>
      <x:c r="C18" s="23" t="str">
        <x:v>Delete division</x:v>
      </x:c>
      <x:c r="D18" s="32" t="str">
        <x:v>DELETE</x:v>
      </x:c>
      <x:c r="E18" s="23" t="str">
        <x:v>/divisions/:id</x:v>
      </x:c>
      <x:c r="F18" s="23" t="str">
        <x:v>Allowed</x:v>
      </x:c>
      <x:c r="G18" s="23" t="str">
        <x:v>Allowed</x:v>
      </x:c>
      <x:c r="H18" s="23" t="str">
        <x:v>PRODUCT_MANAGER+</x:v>
      </x:c>
      <x:c r="I18" s="23" t="str">
        <x:v>X-Vatsim-Token</x:v>
      </x:c>
      <x:c r="J18" s="23" t="str">
        <x:v>Deletes division and cascaded records</x:v>
      </x:c>
      <x:c r="K18" s="35" t="str">
        <x:v>High</x:v>
      </x:c>
      <x:c r="L18" s="23" t="str">
        <x:v>Consider Lead-only or conditional approval/confirmation.</x:v>
      </x:c>
      <x:c r="M18" s="26" t="str"/>
      <x:c r="N18" s="26" t="str"/>
      <x:c r="O18" s="26" t="str"/>
      <x:c r="P18" s="26" t="str">
        <x:v>Not started</x:v>
      </x:c>
      <x:c r="Q18" s="23" t="str">
        <x:f>IF(M18="","TBD",IF(M18="Keep current","No",IF(M18="Needs discussion","TBD","Likely")))</x:f>
        <x:v>TBD</x:v>
      </x:c>
      <x:c r="R18" s="23" t="str">
        <x:v>src/index.ts:2163</x:v>
      </x:c>
    </x:row>
    <x:row r="19" ht="58" customHeight="1">
      <x:c r="A19" s="29" t="str">
        <x:v>PM-014</x:v>
      </x:c>
      <x:c r="B19" s="23" t="str">
        <x:v>Divisions</x:v>
      </x:c>
      <x:c r="C19" s="23" t="str">
        <x:v>Add or change division member</x:v>
      </x:c>
      <x:c r="D19" s="32" t="str">
        <x:v>POST</x:v>
      </x:c>
      <x:c r="E19" s="23" t="str">
        <x:v>/divisions/:id/members</x:v>
      </x:c>
      <x:c r="F19" s="23" t="str">
        <x:v>Allowed</x:v>
      </x:c>
      <x:c r="G19" s="23" t="str">
        <x:v>Allowed</x:v>
      </x:c>
      <x:c r="H19" s="23" t="str">
        <x:v>PRODUCT_MANAGER+ globally; nav_head within own division</x:v>
      </x:c>
      <x:c r="I19" s="23" t="str">
        <x:v>X-Vatsim-Token</x:v>
      </x:c>
      <x:c r="J19" s="23" t="str">
        <x:v>Can grant airport editing authority</x:v>
      </x:c>
      <x:c r="K19" s="35" t="str">
        <x:v>High</x:v>
      </x:c>
      <x:c r="L19" s="23" t="str">
        <x:v>Keep conditionally; log actor, target, old role and new role.</x:v>
      </x:c>
      <x:c r="M19" s="26" t="str"/>
      <x:c r="N19" s="26" t="str"/>
      <x:c r="O19" s="26" t="str"/>
      <x:c r="P19" s="26" t="str">
        <x:v>Not started</x:v>
      </x:c>
      <x:c r="Q19" s="23" t="str">
        <x:f>IF(M19="","TBD",IF(M19="Keep current","No",IF(M19="Needs discussion","TBD","Likely")))</x:f>
        <x:v>TBD</x:v>
      </x:c>
      <x:c r="R19" s="23" t="str">
        <x:v>src/index.ts:2312</x:v>
      </x:c>
    </x:row>
    <x:row r="20" ht="58" customHeight="1">
      <x:c r="A20" s="29" t="str">
        <x:v>PM-015</x:v>
      </x:c>
      <x:c r="B20" s="23" t="str">
        <x:v>Divisions</x:v>
      </x:c>
      <x:c r="C20" s="23" t="str">
        <x:v>Remove division member</x:v>
      </x:c>
      <x:c r="D20" s="32" t="str">
        <x:v>DELETE</x:v>
      </x:c>
      <x:c r="E20" s="23" t="str">
        <x:v>/divisions/:id/members/:vatsimId</x:v>
      </x:c>
      <x:c r="F20" s="23" t="str">
        <x:v>Allowed</x:v>
      </x:c>
      <x:c r="G20" s="23" t="str">
        <x:v>Allowed</x:v>
      </x:c>
      <x:c r="H20" s="23" t="str">
        <x:v>PRODUCT_MANAGER+ globally; nav_head within own division</x:v>
      </x:c>
      <x:c r="I20" s="23" t="str">
        <x:v>X-Vatsim-Token</x:v>
      </x:c>
      <x:c r="J20" s="23" t="str">
        <x:v>Revokes airport editing authority</x:v>
      </x:c>
      <x:c r="K20" s="35" t="str">
        <x:v>High</x:v>
      </x:c>
      <x:c r="L20" s="23" t="str">
        <x:v>Keep conditionally; log removals and protect required heads.</x:v>
      </x:c>
      <x:c r="M20" s="26" t="str"/>
      <x:c r="N20" s="26" t="str"/>
      <x:c r="O20" s="26" t="str"/>
      <x:c r="P20" s="26" t="str">
        <x:v>Not started</x:v>
      </x:c>
      <x:c r="Q20" s="23" t="str">
        <x:f>IF(M20="","TBD",IF(M20="Keep current","No",IF(M20="Needs discussion","TBD","Likely")))</x:f>
        <x:v>TBD</x:v>
      </x:c>
      <x:c r="R20" s="23" t="str">
        <x:v>src/index.ts:2368</x:v>
      </x:c>
    </x:row>
    <x:row r="21" ht="58" customHeight="1">
      <x:c r="A21" s="29" t="str">
        <x:v>PM-016</x:v>
      </x:c>
      <x:c r="B21" s="23" t="str">
        <x:v>Division airports</x:v>
      </x:c>
      <x:c r="C21" s="23" t="str">
        <x:v>Request airport for any division</x:v>
      </x:c>
      <x:c r="D21" s="32" t="str">
        <x:v>POST</x:v>
      </x:c>
      <x:c r="E21" s="23" t="str">
        <x:v>/divisions/:id/airports</x:v>
      </x:c>
      <x:c r="F21" s="23" t="str">
        <x:v>Allowed</x:v>
      </x:c>
      <x:c r="G21" s="23" t="str">
        <x:v>Allowed</x:v>
      </x:c>
      <x:c r="H21" s="23" t="str">
        <x:v>PM bypasses division membership</x:v>
      </x:c>
      <x:c r="I21" s="23" t="str">
        <x:v>X-Vatsim-Token</x:v>
      </x:c>
      <x:c r="J21" s="23" t="str">
        <x:v>Creates airport ownership/access request</x:v>
      </x:c>
      <x:c r="K21" s="35" t="str">
        <x:v>Medium</x:v>
      </x:c>
      <x:c r="L21" s="23" t="str">
        <x:v>Keep if Product Managers administer division ownership; make override explicit in UI and logs.</x:v>
      </x:c>
      <x:c r="M21" s="26" t="str"/>
      <x:c r="N21" s="26" t="str"/>
      <x:c r="O21" s="26" t="str"/>
      <x:c r="P21" s="26" t="str">
        <x:v>Not started</x:v>
      </x:c>
      <x:c r="Q21" s="23" t="str">
        <x:f>IF(M21="","TBD",IF(M21="Keep current","No",IF(M21="Needs discussion","TBD","Likely")))</x:f>
        <x:v>TBD</x:v>
      </x:c>
      <x:c r="R21" s="23" t="str">
        <x:v>src/index.ts:2476; src/services/divisions.ts:270</x:v>
      </x:c>
    </x:row>
    <x:row r="22" ht="58" customHeight="1">
      <x:c r="A22" s="29" t="str">
        <x:v>PM-017</x:v>
      </x:c>
      <x:c r="B22" s="23" t="str">
        <x:v>Division airports</x:v>
      </x:c>
      <x:c r="C22" s="23" t="str">
        <x:v>Delete airport request</x:v>
      </x:c>
      <x:c r="D22" s="32" t="str">
        <x:v>DELETE</x:v>
      </x:c>
      <x:c r="E22" s="23" t="str">
        <x:v>/divisions/:id/airports/:airportId</x:v>
      </x:c>
      <x:c r="F22" s="23" t="str">
        <x:v>Allowed</x:v>
      </x:c>
      <x:c r="G22" s="23" t="str">
        <x:v>Allowed</x:v>
      </x:c>
      <x:c r="H22" s="23" t="str">
        <x:v>PM may delete any pending/rejected request</x:v>
      </x:c>
      <x:c r="I22" s="23" t="str">
        <x:v>X-Vatsim-Token</x:v>
      </x:c>
      <x:c r="J22" s="23" t="str">
        <x:v>Removes request history</x:v>
      </x:c>
      <x:c r="K22" s="35" t="str">
        <x:v>Medium</x:v>
      </x:c>
      <x:c r="L22" s="23" t="str">
        <x:v>Keep conditionally; preserve an audit record.</x:v>
      </x:c>
      <x:c r="M22" s="26" t="str"/>
      <x:c r="N22" s="26" t="str"/>
      <x:c r="O22" s="26" t="str"/>
      <x:c r="P22" s="26" t="str">
        <x:v>Not started</x:v>
      </x:c>
      <x:c r="Q22" s="23" t="str">
        <x:f>IF(M22="","TBD",IF(M22="Keep current","No",IF(M22="Needs discussion","TBD","Likely")))</x:f>
        <x:v>TBD</x:v>
      </x:c>
      <x:c r="R22" s="23" t="str">
        <x:v>src/index.ts:2531; src/services/divisions.ts:386</x:v>
      </x:c>
    </x:row>
    <x:row r="23" ht="58" customHeight="1">
      <x:c r="A23" s="29" t="str">
        <x:v>PM-018</x:v>
      </x:c>
      <x:c r="B23" s="23" t="str">
        <x:v>Division airports</x:v>
      </x:c>
      <x:c r="C23" s="23" t="str">
        <x:v>Approve or reject airport request</x:v>
      </x:c>
      <x:c r="D23" s="32" t="str">
        <x:v>POST</x:v>
      </x:c>
      <x:c r="E23" s="23" t="str">
        <x:v>/divisions/:id/airports/:airportId/approve</x:v>
      </x:c>
      <x:c r="F23" s="23" t="str">
        <x:v>Allowed</x:v>
      </x:c>
      <x:c r="G23" s="23" t="str">
        <x:v>Allowed</x:v>
      </x:c>
      <x:c r="H23" s="23" t="str">
        <x:v>PRODUCT_MANAGER+</x:v>
      </x:c>
      <x:c r="I23" s="23" t="str">
        <x:v>X-Vatsim-Token</x:v>
      </x:c>
      <x:c r="J23" s="23" t="str">
        <x:v>Grants or denies division airport ownership</x:v>
      </x:c>
      <x:c r="K23" s="35" t="str">
        <x:v>High</x:v>
      </x:c>
      <x:c r="L23" s="23" t="str">
        <x:v>Keep for Product Managers; require reason and decision audit trail.</x:v>
      </x:c>
      <x:c r="M23" s="26" t="str"/>
      <x:c r="N23" s="26" t="str"/>
      <x:c r="O23" s="26" t="str"/>
      <x:c r="P23" s="26" t="str">
        <x:v>Not started</x:v>
      </x:c>
      <x:c r="Q23" s="23" t="str">
        <x:f>IF(M23="","TBD",IF(M23="Keep current","No",IF(M23="Needs discussion","TBD","Likely")))</x:f>
        <x:v>TBD</x:v>
      </x:c>
      <x:c r="R23" s="23" t="str">
        <x:v>src/index.ts:2599</x:v>
      </x:c>
    </x:row>
    <x:row r="24" ht="58" customHeight="1">
      <x:c r="A24" s="29" t="str">
        <x:v>PM-019</x:v>
      </x:c>
      <x:c r="B24" s="23" t="str">
        <x:v>Division airports</x:v>
      </x:c>
      <x:c r="C24" s="23" t="str">
        <x:v>List every airport request</x:v>
      </x:c>
      <x:c r="D24" s="32" t="str">
        <x:v>GET</x:v>
      </x:c>
      <x:c r="E24" s="23" t="str">
        <x:v>/staff/divisions/airports</x:v>
      </x:c>
      <x:c r="F24" s="23" t="str">
        <x:v>Allowed</x:v>
      </x:c>
      <x:c r="G24" s="23" t="str">
        <x:v>Allowed</x:v>
      </x:c>
      <x:c r="H24" s="23" t="str">
        <x:v>PRODUCT_MANAGER+</x:v>
      </x:c>
      <x:c r="I24" s="23" t="str">
        <x:v>X-Vatsim-Token</x:v>
      </x:c>
      <x:c r="J24" s="23" t="str">
        <x:v>Reads global division request state</x:v>
      </x:c>
      <x:c r="K24" s="35" t="str">
        <x:v>Low</x:v>
      </x:c>
      <x:c r="L24" s="23" t="str">
        <x:v>Keep for Product Managers.</x:v>
      </x:c>
      <x:c r="M24" s="26" t="str"/>
      <x:c r="N24" s="26" t="str"/>
      <x:c r="O24" s="26" t="str"/>
      <x:c r="P24" s="26" t="str">
        <x:v>Not started</x:v>
      </x:c>
      <x:c r="Q24" s="23" t="str">
        <x:f>IF(M24="","TBD",IF(M24="Keep current","No",IF(M24="Needs discussion","TBD","Likely")))</x:f>
        <x:v>TBD</x:v>
      </x:c>
      <x:c r="R24" s="23" t="str">
        <x:v>src/index.ts:4213</x:v>
      </x:c>
    </x:row>
    <x:row r="25" ht="58" customHeight="1">
      <x:c r="A25" s="29" t="str">
        <x:v>PM-020</x:v>
      </x:c>
      <x:c r="B25" s="23" t="str">
        <x:v>Division airports</x:v>
      </x:c>
      <x:c r="C25" s="23" t="str">
        <x:v>Enable or disable contributions</x:v>
      </x:c>
      <x:c r="D25" s="32" t="str">
        <x:v>PATCH</x:v>
      </x:c>
      <x:c r="E25" s="23" t="str">
        <x:v>/divisions/:id/airports/:airportId/contributions</x:v>
      </x:c>
      <x:c r="F25" s="23" t="str">
        <x:v>No direct staff access</x:v>
      </x:c>
      <x:c r="G25" s="23" t="str">
        <x:v>No direct staff access</x:v>
      </x:c>
      <x:c r="H25" s="23" t="str">
        <x:v>Any division member; staff must also be a member</x:v>
      </x:c>
      <x:c r="I25" s="23" t="str">
        <x:v>X-Vatsim-Token</x:v>
      </x:c>
      <x:c r="J25" s="23" t="str">
        <x:v>Controls whether an approved airport accepts contributions</x:v>
      </x:c>
      <x:c r="K25" s="35" t="str">
        <x:v>Medium</x:v>
      </x:c>
      <x:c r="L25" s="23" t="str">
        <x:v>Decide whether this should be nav_head-only and whether PM needs an explicit override.</x:v>
      </x:c>
      <x:c r="M25" s="26" t="str"/>
      <x:c r="N25" s="26" t="str"/>
      <x:c r="O25" s="26" t="str"/>
      <x:c r="P25" s="26" t="str">
        <x:v>Not started</x:v>
      </x:c>
      <x:c r="Q25" s="23" t="str">
        <x:f>IF(M25="","TBD",IF(M25="Keep current","No",IF(M25="Needs discussion","TBD","Likely")))</x:f>
        <x:v>TBD</x:v>
      </x:c>
      <x:c r="R25" s="23" t="str">
        <x:v>src/index.ts:2667; src/services/divisions.ts:333</x:v>
      </x:c>
    </x:row>
    <x:row r="26" ht="58" customHeight="1">
      <x:c r="A26" s="29" t="str">
        <x:v>PM-021</x:v>
      </x:c>
      <x:c r="B26" s="23" t="str">
        <x:v>Contributions</x:v>
      </x:c>
      <x:c r="C26" s="23" t="str">
        <x:v>Approve or reject contribution</x:v>
      </x:c>
      <x:c r="D26" s="32" t="str">
        <x:v>POST</x:v>
      </x:c>
      <x:c r="E26" s="23" t="str">
        <x:v>/contributions/:id/decision</x:v>
      </x:c>
      <x:c r="F26" s="23" t="str">
        <x:v>Allowed</x:v>
      </x:c>
      <x:c r="G26" s="23" t="str">
        <x:v>Allowed</x:v>
      </x:c>
      <x:c r="H26" s="23" t="str">
        <x:v>Hardcoded PM or Lead role check in ContributionsService</x:v>
      </x:c>
      <x:c r="I26" s="23" t="str">
        <x:v>X-Vatsim-Token</x:v>
      </x:c>
      <x:c r="J26" s="23" t="str">
        <x:v>Publishes or rejects submitted airport content</x:v>
      </x:c>
      <x:c r="K26" s="35" t="str">
        <x:v>High</x:v>
      </x:c>
      <x:c r="L26" s="23" t="str">
        <x:v>Keep for Product Managers; require decision reason and durable audit trail.</x:v>
      </x:c>
      <x:c r="M26" s="26" t="str"/>
      <x:c r="N26" s="26" t="str"/>
      <x:c r="O26" s="26" t="str"/>
      <x:c r="P26" s="26" t="str">
        <x:v>Not started</x:v>
      </x:c>
      <x:c r="Q26" s="23" t="str">
        <x:f>IF(M26="","TBD",IF(M26="Keep current","No",IF(M26="Needs discussion","TBD","Likely")))</x:f>
        <x:v>TBD</x:v>
      </x:c>
      <x:c r="R26" s="23" t="str">
        <x:v>src/index.ts:4556; src/services/contributions.ts:925</x:v>
      </x:c>
    </x:row>
    <x:row r="27" ht="58" customHeight="1">
      <x:c r="A27" s="29" t="str">
        <x:v>PM-022</x:v>
      </x:c>
      <x:c r="B27" s="23" t="str">
        <x:v>Contributions</x:v>
      </x:c>
      <x:c r="C27" s="23" t="str">
        <x:v>Regenerate approved artifacts</x:v>
      </x:c>
      <x:c r="D27" s="32" t="str">
        <x:v>POST</x:v>
      </x:c>
      <x:c r="E27" s="23" t="str">
        <x:v>/contributions/:id/regenerate</x:v>
      </x:c>
      <x:c r="F27" s="23" t="str">
        <x:v>Allowed</x:v>
      </x:c>
      <x:c r="G27" s="23" t="str">
        <x:v>Allowed</x:v>
      </x:c>
      <x:c r="H27" s="23" t="str">
        <x:v>Hardcoded PM or Lead role check in ContributionsService</x:v>
      </x:c>
      <x:c r="I27" s="23" t="str">
        <x:v>X-Vatsim-Token</x:v>
      </x:c>
      <x:c r="J27" s="23" t="str">
        <x:v>Overwrites generated CDN artifacts</x:v>
      </x:c>
      <x:c r="K27" s="35" t="str">
        <x:v>High</x:v>
      </x:c>
      <x:c r="L27" s="23" t="str">
        <x:v>Consider conditional PM access or Lead-only for failed/recovery operations.</x:v>
      </x:c>
      <x:c r="M27" s="26" t="str"/>
      <x:c r="N27" s="26" t="str"/>
      <x:c r="O27" s="26" t="str"/>
      <x:c r="P27" s="26" t="str">
        <x:v>Not started</x:v>
      </x:c>
      <x:c r="Q27" s="23" t="str">
        <x:f>IF(M27="","TBD",IF(M27="Keep current","No",IF(M27="Needs discussion","TBD","Likely")))</x:f>
        <x:v>TBD</x:v>
      </x:c>
      <x:c r="R27" s="23" t="str">
        <x:v>src/index.ts:4616; src/services/contributions.ts:1114</x:v>
      </x:c>
    </x:row>
    <x:row r="28" ht="58" customHeight="1">
      <x:c r="A28" s="29" t="str">
        <x:v>PM-023</x:v>
      </x:c>
      <x:c r="B28" s="23" t="str">
        <x:v>Contributions</x:v>
      </x:c>
      <x:c r="C28" s="23" t="str">
        <x:v>Delete pending/rejected contribution</x:v>
      </x:c>
      <x:c r="D28" s="32" t="str">
        <x:v>DELETE</x:v>
      </x:c>
      <x:c r="E28" s="23" t="str">
        <x:v>/contributions/:id</x:v>
      </x:c>
      <x:c r="F28" s="23" t="str">
        <x:v>Allowed</x:v>
      </x:c>
      <x:c r="G28" s="23" t="str">
        <x:v>Allowed</x:v>
      </x:c>
      <x:c r="H28" s="23" t="str">
        <x:v>PM+ or original owner; pending/rejected only</x:v>
      </x:c>
      <x:c r="I28" s="23" t="str">
        <x:v>X-Vatsim-Token</x:v>
      </x:c>
      <x:c r="J28" s="23" t="str">
        <x:v>Permanently removes submission record</x:v>
      </x:c>
      <x:c r="K28" s="35" t="str">
        <x:v>Medium</x:v>
      </x:c>
      <x:c r="L28" s="23" t="str">
        <x:v>Keep with audit logging or replace with archival status.</x:v>
      </x:c>
      <x:c r="M28" s="26" t="str"/>
      <x:c r="N28" s="26" t="str"/>
      <x:c r="O28" s="26" t="str"/>
      <x:c r="P28" s="26" t="str">
        <x:v>Not started</x:v>
      </x:c>
      <x:c r="Q28" s="23" t="str">
        <x:f>IF(M28="","TBD",IF(M28="Keep current","No",IF(M28="Needs discussion","TBD","Likely")))</x:f>
        <x:v>TBD</x:v>
      </x:c>
      <x:c r="R28" s="23" t="str">
        <x:v>src/index.ts:4674; src/services/contributions.ts:1080</x:v>
      </x:c>
    </x:row>
    <x:row r="29" ht="58" customHeight="1">
      <x:c r="A29" s="29" t="str">
        <x:v>PM-024</x:v>
      </x:c>
      <x:c r="B29" s="23" t="str">
        <x:v>Content</x:v>
      </x:c>
      <x:c r="C29" s="23" t="str">
        <x:v>Update global NOTAM</x:v>
      </x:c>
      <x:c r="D29" s="32" t="str">
        <x:v>PUT</x:v>
      </x:c>
      <x:c r="E29" s="23" t="str">
        <x:v>/notam</x:v>
      </x:c>
      <x:c r="F29" s="23" t="str">
        <x:v>Allowed</x:v>
      </x:c>
      <x:c r="G29" s="23" t="str">
        <x:v>Allowed</x:v>
      </x:c>
      <x:c r="H29" s="23" t="str">
        <x:v>PRODUCT_MANAGER+</x:v>
      </x:c>
      <x:c r="I29" s="23" t="str">
        <x:v>X-Vatsim-Token</x:v>
      </x:c>
      <x:c r="J29" s="23" t="str">
        <x:v>Changes prominent global operational content</x:v>
      </x:c>
      <x:c r="K29" s="35" t="str">
        <x:v>High</x:v>
      </x:c>
      <x:c r="L29" s="23" t="str">
        <x:v>Keep if this is a Product function; consider preview and second confirmation.</x:v>
      </x:c>
      <x:c r="M29" s="26" t="str"/>
      <x:c r="N29" s="26" t="str"/>
      <x:c r="O29" s="26" t="str"/>
      <x:c r="P29" s="26" t="str">
        <x:v>Not started</x:v>
      </x:c>
      <x:c r="Q29" s="23" t="str">
        <x:f>IF(M29="","TBD",IF(M29="Keep current","No",IF(M29="Needs discussion","TBD","Likely")))</x:f>
        <x:v>TBD</x:v>
      </x:c>
      <x:c r="R29" s="23" t="str">
        <x:v>src/index.ts:3792</x:v>
      </x:c>
    </x:row>
    <x:row r="30" ht="58" customHeight="1">
      <x:c r="A30" s="29" t="str">
        <x:v>PM-025</x:v>
      </x:c>
      <x:c r="B30" s="23" t="str">
        <x:v>Content</x:v>
      </x:c>
      <x:c r="C30" s="23" t="str">
        <x:v>Create FAQ</x:v>
      </x:c>
      <x:c r="D30" s="32" t="str">
        <x:v>POST</x:v>
      </x:c>
      <x:c r="E30" s="23" t="str">
        <x:v>/staff/faqs</x:v>
      </x:c>
      <x:c r="F30" s="23" t="str">
        <x:v>Allowed</x:v>
      </x:c>
      <x:c r="G30" s="23" t="str">
        <x:v>Allowed</x:v>
      </x:c>
      <x:c r="H30" s="23" t="str">
        <x:v>PRODUCT_MANAGER+ middleware</x:v>
      </x:c>
      <x:c r="I30" s="23" t="str">
        <x:v>X-Vatsim-Token</x:v>
      </x:c>
      <x:c r="J30" s="23" t="str">
        <x:v>Publishes public help content</x:v>
      </x:c>
      <x:c r="K30" s="35" t="str">
        <x:v>Low</x:v>
      </x:c>
      <x:c r="L30" s="23" t="str">
        <x:v>Keep for Product Managers.</x:v>
      </x:c>
      <x:c r="M30" s="26" t="str"/>
      <x:c r="N30" s="26" t="str"/>
      <x:c r="O30" s="26" t="str"/>
      <x:c r="P30" s="26" t="str">
        <x:v>Not started</x:v>
      </x:c>
      <x:c r="Q30" s="23" t="str">
        <x:f>IF(M30="","TBD",IF(M30="Keep current","No",IF(M30="Needs discussion","TBD","Likely")))</x:f>
        <x:v>TBD</x:v>
      </x:c>
      <x:c r="R30" s="23" t="str">
        <x:v>src/index.ts:6498</x:v>
      </x:c>
    </x:row>
    <x:row r="31" ht="58" customHeight="1">
      <x:c r="A31" s="29" t="str">
        <x:v>PM-026</x:v>
      </x:c>
      <x:c r="B31" s="23" t="str">
        <x:v>Content</x:v>
      </x:c>
      <x:c r="C31" s="23" t="str">
        <x:v>Update FAQ</x:v>
      </x:c>
      <x:c r="D31" s="32" t="str">
        <x:v>PUT</x:v>
      </x:c>
      <x:c r="E31" s="23" t="str">
        <x:v>/staff/faqs/:id</x:v>
      </x:c>
      <x:c r="F31" s="23" t="str">
        <x:v>Allowed</x:v>
      </x:c>
      <x:c r="G31" s="23" t="str">
        <x:v>Allowed</x:v>
      </x:c>
      <x:c r="H31" s="23" t="str">
        <x:v>PRODUCT_MANAGER+ middleware</x:v>
      </x:c>
      <x:c r="I31" s="23" t="str">
        <x:v>X-Vatsim-Token</x:v>
      </x:c>
      <x:c r="J31" s="23" t="str">
        <x:v>Changes public help content</x:v>
      </x:c>
      <x:c r="K31" s="35" t="str">
        <x:v>Low</x:v>
      </x:c>
      <x:c r="L31" s="23" t="str">
        <x:v>Keep for Product Managers.</x:v>
      </x:c>
      <x:c r="M31" s="26" t="str"/>
      <x:c r="N31" s="26" t="str"/>
      <x:c r="O31" s="26" t="str"/>
      <x:c r="P31" s="26" t="str">
        <x:v>Not started</x:v>
      </x:c>
      <x:c r="Q31" s="23" t="str">
        <x:f>IF(M31="","TBD",IF(M31="Keep current","No",IF(M31="Needs discussion","TBD","Likely")))</x:f>
        <x:v>TBD</x:v>
      </x:c>
      <x:c r="R31" s="23" t="str">
        <x:v>src/index.ts:6556</x:v>
      </x:c>
    </x:row>
    <x:row r="32" ht="58" customHeight="1">
      <x:c r="A32" s="29" t="str">
        <x:v>PM-027</x:v>
      </x:c>
      <x:c r="B32" s="23" t="str">
        <x:v>Content</x:v>
      </x:c>
      <x:c r="C32" s="23" t="str">
        <x:v>Delete FAQ</x:v>
      </x:c>
      <x:c r="D32" s="32" t="str">
        <x:v>DELETE</x:v>
      </x:c>
      <x:c r="E32" s="23" t="str">
        <x:v>/staff/faqs/:id</x:v>
      </x:c>
      <x:c r="F32" s="23" t="str">
        <x:v>Allowed</x:v>
      </x:c>
      <x:c r="G32" s="23" t="str">
        <x:v>Allowed</x:v>
      </x:c>
      <x:c r="H32" s="23" t="str">
        <x:v>PRODUCT_MANAGER+ middleware</x:v>
      </x:c>
      <x:c r="I32" s="23" t="str">
        <x:v>X-Vatsim-Token</x:v>
      </x:c>
      <x:c r="J32" s="23" t="str">
        <x:v>Deletes public help content</x:v>
      </x:c>
      <x:c r="K32" s="35" t="str">
        <x:v>Medium</x:v>
      </x:c>
      <x:c r="L32" s="23" t="str">
        <x:v>Keep with confirmation or soft-delete.</x:v>
      </x:c>
      <x:c r="M32" s="26" t="str"/>
      <x:c r="N32" s="26" t="str"/>
      <x:c r="O32" s="26" t="str"/>
      <x:c r="P32" s="26" t="str">
        <x:v>Not started</x:v>
      </x:c>
      <x:c r="Q32" s="23" t="str">
        <x:f>IF(M32="","TBD",IF(M32="Keep current","No",IF(M32="Needs discussion","TBD","Likely")))</x:f>
        <x:v>TBD</x:v>
      </x:c>
      <x:c r="R32" s="23" t="str">
        <x:v>src/index.ts:6602</x:v>
      </x:c>
    </x:row>
    <x:row r="33" ht="58" customHeight="1">
      <x:c r="A33" s="29" t="str">
        <x:v>PM-028</x:v>
      </x:c>
      <x:c r="B33" s="23" t="str">
        <x:v>Content</x:v>
      </x:c>
      <x:c r="C33" s="23" t="str">
        <x:v>Reorder FAQs</x:v>
      </x:c>
      <x:c r="D33" s="32" t="str">
        <x:v>POST</x:v>
      </x:c>
      <x:c r="E33" s="23" t="str">
        <x:v>/staff/faqs/reorder</x:v>
      </x:c>
      <x:c r="F33" s="23" t="str">
        <x:v>Allowed</x:v>
      </x:c>
      <x:c r="G33" s="23" t="str">
        <x:v>Allowed</x:v>
      </x:c>
      <x:c r="H33" s="23" t="str">
        <x:v>PRODUCT_MANAGER+ middleware</x:v>
      </x:c>
      <x:c r="I33" s="23" t="str">
        <x:v>X-Vatsim-Token</x:v>
      </x:c>
      <x:c r="J33" s="23" t="str">
        <x:v>Changes public help ordering</x:v>
      </x:c>
      <x:c r="K33" s="35" t="str">
        <x:v>Low</x:v>
      </x:c>
      <x:c r="L33" s="23" t="str">
        <x:v>Keep for Product Managers.</x:v>
      </x:c>
      <x:c r="M33" s="26" t="str"/>
      <x:c r="N33" s="26" t="str"/>
      <x:c r="O33" s="26" t="str"/>
      <x:c r="P33" s="26" t="str">
        <x:v>Not started</x:v>
      </x:c>
      <x:c r="Q33" s="23" t="str">
        <x:f>IF(M33="","TBD",IF(M33="Keep current","No",IF(M33="Needs discussion","TBD","Likely")))</x:f>
        <x:v>TBD</x:v>
      </x:c>
      <x:c r="R33" s="23" t="str">
        <x:v>src/index.ts:6647</x:v>
      </x:c>
    </x:row>
    <x:row r="34" ht="58" customHeight="1">
      <x:c r="A34" s="29" t="str">
        <x:v>PM-029</x:v>
      </x:c>
      <x:c r="B34" s="23" t="str">
        <x:v>Releases</x:v>
      </x:c>
      <x:c r="C34" s="23" t="str">
        <x:v>Publish product release</x:v>
      </x:c>
      <x:c r="D34" s="32" t="str">
        <x:v>POST</x:v>
      </x:c>
      <x:c r="E34" s="23" t="str">
        <x:v>/releases/upload</x:v>
      </x:c>
      <x:c r="F34" s="23" t="str">
        <x:v>Allowed</x:v>
      </x:c>
      <x:c r="G34" s="23" t="str">
        <x:v>Allowed</x:v>
      </x:c>
      <x:c r="H34" s="23" t="str">
        <x:v>PRODUCT_MANAGER+</x:v>
      </x:c>
      <x:c r="I34" s="23" t="str">
        <x:v>X-Vatsim-Token</x:v>
      </x:c>
      <x:c r="J34" s="23" t="str">
        <x:v>Publishes binaries/metadata and promotional image</x:v>
      </x:c>
      <x:c r="K34" s="35" t="str">
        <x:v>High</x:v>
      </x:c>
      <x:c r="L34" s="23" t="str">
        <x:v>Discuss splitting release metadata from binary publishing; consider approval workflow.</x:v>
      </x:c>
      <x:c r="M34" s="26" t="str"/>
      <x:c r="N34" s="26" t="str"/>
      <x:c r="O34" s="26" t="str"/>
      <x:c r="P34" s="26" t="str">
        <x:v>Not started</x:v>
      </x:c>
      <x:c r="Q34" s="23" t="str">
        <x:f>IF(M34="","TBD",IF(M34="Keep current","No",IF(M34="Needs discussion","TBD","Likely")))</x:f>
        <x:v>TBD</x:v>
      </x:c>
      <x:c r="R34" s="23" t="str">
        <x:v>src/index.ts:5719</x:v>
      </x:c>
    </x:row>
    <x:row r="35" ht="58" customHeight="1">
      <x:c r="A35" s="29" t="str">
        <x:v>PM-030</x:v>
      </x:c>
      <x:c r="B35" s="23" t="str">
        <x:v>Releases</x:v>
      </x:c>
      <x:c r="C35" s="23" t="str">
        <x:v>Edit release changelog</x:v>
      </x:c>
      <x:c r="D35" s="32" t="str">
        <x:v>PUT</x:v>
      </x:c>
      <x:c r="E35" s="23" t="str">
        <x:v>/releases/:id/changelog</x:v>
      </x:c>
      <x:c r="F35" s="23" t="str">
        <x:v>Allowed</x:v>
      </x:c>
      <x:c r="G35" s="23" t="str">
        <x:v>Allowed</x:v>
      </x:c>
      <x:c r="H35" s="23" t="str">
        <x:v>PRODUCT_MANAGER+</x:v>
      </x:c>
      <x:c r="I35" s="23" t="str">
        <x:v>X-Vatsim-Token</x:v>
      </x:c>
      <x:c r="J35" s="23" t="str">
        <x:v>Changes public release notes</x:v>
      </x:c>
      <x:c r="K35" s="35" t="str">
        <x:v>Medium</x:v>
      </x:c>
      <x:c r="L35" s="23" t="str">
        <x:v>Keep for Product Managers.</x:v>
      </x:c>
      <x:c r="M35" s="26" t="str"/>
      <x:c r="N35" s="26" t="str"/>
      <x:c r="O35" s="26" t="str"/>
      <x:c r="P35" s="26" t="str">
        <x:v>Not started</x:v>
      </x:c>
      <x:c r="Q35" s="23" t="str">
        <x:f>IF(M35="","TBD",IF(M35="Keep current","No",IF(M35="Needs discussion","TBD","Likely")))</x:f>
        <x:v>TBD</x:v>
      </x:c>
      <x:c r="R35" s="23" t="str">
        <x:v>src/index.ts:5889</x:v>
      </x:c>
    </x:row>
    <x:row r="36" ht="58" customHeight="1">
      <x:c r="A36" s="29" t="str">
        <x:v>PM-031</x:v>
      </x:c>
      <x:c r="B36" s="23" t="str">
        <x:v>CDN</x:v>
      </x:c>
      <x:c r="C36" s="23" t="str">
        <x:v>Upload arbitrary CDN file</x:v>
      </x:c>
      <x:c r="D36" s="32" t="str">
        <x:v>POST</x:v>
      </x:c>
      <x:c r="E36" s="23" t="str">
        <x:v>/cdn/upload</x:v>
      </x:c>
      <x:c r="F36" s="23" t="str">
        <x:v>Allowed</x:v>
      </x:c>
      <x:c r="G36" s="23" t="str">
        <x:v>Allowed</x:v>
      </x:c>
      <x:c r="H36" s="23" t="str">
        <x:v>Any recognized staff role via isStaff</x:v>
      </x:c>
      <x:c r="I36" s="23" t="str">
        <x:v>X-Vatsim-Token</x:v>
      </x:c>
      <x:c r="J36" s="23" t="str">
        <x:v>Writes arbitrary global R2 keys</x:v>
      </x:c>
      <x:c r="K36" s="35" t="str">
        <x:v>High</x:v>
      </x:c>
      <x:c r="L36" s="23" t="str">
        <x:v>Lead-only or restrict Product Managers to approved prefixes and file types.</x:v>
      </x:c>
      <x:c r="M36" s="26" t="str"/>
      <x:c r="N36" s="26" t="str"/>
      <x:c r="O36" s="26" t="str"/>
      <x:c r="P36" s="26" t="str">
        <x:v>Not started</x:v>
      </x:c>
      <x:c r="Q36" s="23" t="str">
        <x:f>IF(M36="","TBD",IF(M36="Keep current","No",IF(M36="Needs discussion","TBD","Likely")))</x:f>
        <x:v>TBD</x:v>
      </x:c>
      <x:c r="R36" s="23" t="str">
        <x:v>src/index.ts:4829; src/services/roles.ts:66</x:v>
      </x:c>
    </x:row>
    <x:row r="37" ht="58" customHeight="1">
      <x:c r="A37" s="29" t="str">
        <x:v>PM-032</x:v>
      </x:c>
      <x:c r="B37" s="23" t="str">
        <x:v>CDN</x:v>
      </x:c>
      <x:c r="C37" s="23" t="str">
        <x:v>List all CDN files</x:v>
      </x:c>
      <x:c r="D37" s="32" t="str">
        <x:v>GET</x:v>
      </x:c>
      <x:c r="E37" s="23" t="str">
        <x:v>/cdn/files</x:v>
      </x:c>
      <x:c r="F37" s="23" t="str">
        <x:v>Allowed</x:v>
      </x:c>
      <x:c r="G37" s="23" t="str">
        <x:v>Allowed</x:v>
      </x:c>
      <x:c r="H37" s="23" t="str">
        <x:v>Any recognized staff role via isStaff</x:v>
      </x:c>
      <x:c r="I37" s="23" t="str">
        <x:v>X-Vatsim-Token</x:v>
      </x:c>
      <x:c r="J37" s="23" t="str">
        <x:v>Enumerates all stored objects and metadata</x:v>
      </x:c>
      <x:c r="K37" s="35" t="str">
        <x:v>Medium</x:v>
      </x:c>
      <x:c r="L37" s="23" t="str">
        <x:v>Restrict to operational need; consider scoped listing.</x:v>
      </x:c>
      <x:c r="M37" s="26" t="str"/>
      <x:c r="N37" s="26" t="str"/>
      <x:c r="O37" s="26" t="str"/>
      <x:c r="P37" s="26" t="str">
        <x:v>Not started</x:v>
      </x:c>
      <x:c r="Q37" s="23" t="str">
        <x:f>IF(M37="","TBD",IF(M37="Keep current","No",IF(M37="Needs discussion","TBD","Likely")))</x:f>
        <x:v>TBD</x:v>
      </x:c>
      <x:c r="R37" s="23" t="str">
        <x:v>src/index.ts:4924; src/services/roles.ts:66</x:v>
      </x:c>
    </x:row>
    <x:row r="38" ht="58" customHeight="1">
      <x:c r="A38" s="29" t="str">
        <x:v>PM-033</x:v>
      </x:c>
      <x:c r="B38" s="23" t="str">
        <x:v>CDN</x:v>
      </x:c>
      <x:c r="C38" s="23" t="str">
        <x:v>Delete arbitrary CDN file</x:v>
      </x:c>
      <x:c r="D38" s="32" t="str">
        <x:v>DELETE</x:v>
      </x:c>
      <x:c r="E38" s="23" t="str">
        <x:v>/cdn/files/:fileKey</x:v>
      </x:c>
      <x:c r="F38" s="23" t="str">
        <x:v>Allowed</x:v>
      </x:c>
      <x:c r="G38" s="23" t="str">
        <x:v>Allowed</x:v>
      </x:c>
      <x:c r="H38" s="23" t="str">
        <x:v>Any recognized staff role via isStaff</x:v>
      </x:c>
      <x:c r="I38" s="23" t="str">
        <x:v>X-Vatsim-Token</x:v>
      </x:c>
      <x:c r="J38" s="23" t="str">
        <x:v>Permanently deletes arbitrary global R2 object</x:v>
      </x:c>
      <x:c r="K38" s="35" t="str">
        <x:v>Critical</x:v>
      </x:c>
      <x:c r="L38" s="23" t="str">
        <x:v>Lead-only or strict prefix capability with confirmation and audit logging.</x:v>
      </x:c>
      <x:c r="M38" s="26" t="str"/>
      <x:c r="N38" s="26" t="str"/>
      <x:c r="O38" s="26" t="str"/>
      <x:c r="P38" s="26" t="str">
        <x:v>Not started</x:v>
      </x:c>
      <x:c r="Q38" s="23" t="str">
        <x:f>IF(M38="","TBD",IF(M38="Keep current","No",IF(M38="Needs discussion","TBD","Likely")))</x:f>
        <x:v>TBD</x:v>
      </x:c>
      <x:c r="R38" s="23" t="str">
        <x:v>src/index.ts:4997; src/services/roles.ts:66</x:v>
      </x:c>
    </x:row>
    <x:row r="39" ht="58" customHeight="1">
      <x:c r="A39" s="29" t="str">
        <x:v>PM-034</x:v>
      </x:c>
      <x:c r="B39" s="23" t="str">
        <x:v>Airport metadata</x:v>
      </x:c>
      <x:c r="C39" s="23" t="str">
        <x:v>Create airport and runways</x:v>
      </x:c>
      <x:c r="D39" s="32" t="str">
        <x:v>POST</x:v>
      </x:c>
      <x:c r="E39" s="23" t="str">
        <x:v>/airports</x:v>
      </x:c>
      <x:c r="F39" s="23" t="str">
        <x:v>Denied (Lead only)</x:v>
      </x:c>
      <x:c r="G39" s="23" t="str">
        <x:v>Allowed</x:v>
      </x:c>
      <x:c r="H39" s="23" t="str">
        <x:v>Exact LEAD_DEVELOPER role</x:v>
      </x:c>
      <x:c r="I39" s="23" t="str">
        <x:v>X-Vatsim-Token</x:v>
      </x:c>
      <x:c r="J39" s="23" t="str">
        <x:v>Creates canonical airport metadata</x:v>
      </x:c>
      <x:c r="K39" s="35" t="str">
        <x:v>High</x:v>
      </x:c>
      <x:c r="L39" s="23" t="str">
        <x:v>Keep Lead Developer only unless a reviewed workflow is introduced.</x:v>
      </x:c>
      <x:c r="M39" s="26" t="str"/>
      <x:c r="N39" s="26" t="str"/>
      <x:c r="O39" s="26" t="str"/>
      <x:c r="P39" s="26" t="str">
        <x:v>Not started</x:v>
      </x:c>
      <x:c r="Q39" s="23" t="str">
        <x:f>IF(M39="","TBD",IF(M39="Keep current","No",IF(M39="Needs discussion","TBD","Likely")))</x:f>
        <x:v>TBD</x:v>
      </x:c>
      <x:c r="R39" s="23" t="str">
        <x:v>src/index.ts:1838</x:v>
      </x:c>
    </x:row>
    <x:row r="40" ht="58" customHeight="1">
      <x:c r="A40" s="29" t="str">
        <x:v>PM-035</x:v>
      </x:c>
      <x:c r="B40" s="23" t="str">
        <x:v>Airport metadata</x:v>
      </x:c>
      <x:c r="C40" s="23" t="str">
        <x:v>Replace airport and runway metadata</x:v>
      </x:c>
      <x:c r="D40" s="32" t="str">
        <x:v>PATCH</x:v>
      </x:c>
      <x:c r="E40" s="23" t="str">
        <x:v>/airports/:icao</x:v>
      </x:c>
      <x:c r="F40" s="23" t="str">
        <x:v>Denied (Lead only)</x:v>
      </x:c>
      <x:c r="G40" s="23" t="str">
        <x:v>Allowed</x:v>
      </x:c>
      <x:c r="H40" s="23" t="str">
        <x:v>Exact LEAD_DEVELOPER role</x:v>
      </x:c>
      <x:c r="I40" s="23" t="str">
        <x:v>X-Vatsim-Token</x:v>
      </x:c>
      <x:c r="J40" s="23" t="str">
        <x:v>Replaces canonical airport/runway records</x:v>
      </x:c>
      <x:c r="K40" s="35" t="str">
        <x:v>Critical</x:v>
      </x:c>
      <x:c r="L40" s="23" t="str">
        <x:v>Keep Lead Developer only.</x:v>
      </x:c>
      <x:c r="M40" s="26" t="str"/>
      <x:c r="N40" s="26" t="str"/>
      <x:c r="O40" s="26" t="str"/>
      <x:c r="P40" s="26" t="str">
        <x:v>Not started</x:v>
      </x:c>
      <x:c r="Q40" s="23" t="str">
        <x:f>IF(M40="","TBD",IF(M40="Keep current","No",IF(M40="Needs discussion","TBD","Likely")))</x:f>
        <x:v>TBD</x:v>
      </x:c>
      <x:c r="R40" s="23" t="str">
        <x:v>src/index.ts:1879</x:v>
      </x:c>
    </x:row>
    <x:row r="41" ht="58" customHeight="1">
      <x:c r="A41" s="29" t="str">
        <x:v>PM-036</x:v>
      </x:c>
      <x:c r="B41" s="23" t="str">
        <x:v>Staff roles</x:v>
      </x:c>
      <x:c r="C41" s="23" t="str">
        <x:v>List staff and roles</x:v>
      </x:c>
      <x:c r="D41" s="32" t="str">
        <x:v>GET</x:v>
      </x:c>
      <x:c r="E41" s="23" t="str">
        <x:v>/staff/manage</x:v>
      </x:c>
      <x:c r="F41" s="23" t="str">
        <x:v>Denied (Lead only)</x:v>
      </x:c>
      <x:c r="G41" s="23" t="str">
        <x:v>Allowed</x:v>
      </x:c>
      <x:c r="H41" s="23" t="str">
        <x:v>LEAD_DEVELOPER</x:v>
      </x:c>
      <x:c r="I41" s="23" t="str">
        <x:v>X-Vatsim-Token</x:v>
      </x:c>
      <x:c r="J41" s="23" t="str">
        <x:v>Reads privileged-role membership</x:v>
      </x:c>
      <x:c r="K41" s="35" t="str">
        <x:v>Medium</x:v>
      </x:c>
      <x:c r="L41" s="23" t="str">
        <x:v>Keep Lead Developer only.</x:v>
      </x:c>
      <x:c r="M41" s="26" t="str"/>
      <x:c r="N41" s="26" t="str"/>
      <x:c r="O41" s="26" t="str"/>
      <x:c r="P41" s="26" t="str">
        <x:v>Not started</x:v>
      </x:c>
      <x:c r="Q41" s="23" t="str">
        <x:f>IF(M41="","TBD",IF(M41="Keep current","No",IF(M41="Needs discussion","TBD","Likely")))</x:f>
        <x:v>TBD</x:v>
      </x:c>
      <x:c r="R41" s="23" t="str">
        <x:v>src/index.ts:4056</x:v>
      </x:c>
    </x:row>
    <x:row r="42" ht="58" customHeight="1">
      <x:c r="A42" s="29" t="str">
        <x:v>PM-037</x:v>
      </x:c>
      <x:c r="B42" s="23" t="str">
        <x:v>Staff roles</x:v>
      </x:c>
      <x:c r="C42" s="23" t="str">
        <x:v>Add staff or change staff role</x:v>
      </x:c>
      <x:c r="D42" s="32" t="str">
        <x:v>POST</x:v>
      </x:c>
      <x:c r="E42" s="23" t="str">
        <x:v>/staff/manage</x:v>
      </x:c>
      <x:c r="F42" s="23" t="str">
        <x:v>Denied (Lead only)</x:v>
      </x:c>
      <x:c r="G42" s="23" t="str">
        <x:v>Allowed</x:v>
      </x:c>
      <x:c r="H42" s="23" t="str">
        <x:v>LEAD_DEVELOPER</x:v>
      </x:c>
      <x:c r="I42" s="23" t="str">
        <x:v>X-Vatsim-Token</x:v>
      </x:c>
      <x:c r="J42" s="23" t="str">
        <x:v>Grants or changes global privileges</x:v>
      </x:c>
      <x:c r="K42" s="35" t="str">
        <x:v>Critical</x:v>
      </x:c>
      <x:c r="L42" s="23" t="str">
        <x:v>Keep Lead Developer only; preserve final-lead safeguard and audit every change.</x:v>
      </x:c>
      <x:c r="M42" s="26" t="str"/>
      <x:c r="N42" s="26" t="str"/>
      <x:c r="O42" s="26" t="str"/>
      <x:c r="P42" s="26" t="str">
        <x:v>Not started</x:v>
      </x:c>
      <x:c r="Q42" s="23" t="str">
        <x:f>IF(M42="","TBD",IF(M42="Keep current","No",IF(M42="Needs discussion","TBD","Likely")))</x:f>
        <x:v>TBD</x:v>
      </x:c>
      <x:c r="R42" s="23" t="str">
        <x:v>src/index.ts:4094</x:v>
      </x:c>
    </x:row>
    <x:row r="43" ht="58" customHeight="1">
      <x:c r="A43" s="29" t="str">
        <x:v>PM-038</x:v>
      </x:c>
      <x:c r="B43" s="23" t="str">
        <x:v>Staff roles</x:v>
      </x:c>
      <x:c r="C43" s="23" t="str">
        <x:v>Remove staff role</x:v>
      </x:c>
      <x:c r="D43" s="32" t="str">
        <x:v>DELETE</x:v>
      </x:c>
      <x:c r="E43" s="23" t="str">
        <x:v>/staff/manage/:vatsimId</x:v>
      </x:c>
      <x:c r="F43" s="23" t="str">
        <x:v>Denied (Lead only)</x:v>
      </x:c>
      <x:c r="G43" s="23" t="str">
        <x:v>Allowed</x:v>
      </x:c>
      <x:c r="H43" s="23" t="str">
        <x:v>LEAD_DEVELOPER</x:v>
      </x:c>
      <x:c r="I43" s="23" t="str">
        <x:v>X-Vatsim-Token</x:v>
      </x:c>
      <x:c r="J43" s="23" t="str">
        <x:v>Revokes global privileges</x:v>
      </x:c>
      <x:c r="K43" s="35" t="str">
        <x:v>Critical</x:v>
      </x:c>
      <x:c r="L43" s="23" t="str">
        <x:v>Keep Lead Developer only; preserve final-lead safeguard and audit every change.</x:v>
      </x:c>
      <x:c r="M43" s="26" t="str"/>
      <x:c r="N43" s="26" t="str"/>
      <x:c r="O43" s="26" t="str"/>
      <x:c r="P43" s="26" t="str">
        <x:v>Not started</x:v>
      </x:c>
      <x:c r="Q43" s="23" t="str">
        <x:f>IF(M43="","TBD",IF(M43="Keep current","No",IF(M43="Needs discussion","TBD","Likely")))</x:f>
        <x:v>TBD</x:v>
      </x:c>
      <x:c r="R43" s="23" t="str">
        <x:v>src/index.ts:4143</x:v>
      </x:c>
    </x:row>
    <x:row r="44" ht="58" customHeight="1">
      <x:c r="A44" s="29" t="str">
        <x:v>PM-039</x:v>
      </x:c>
      <x:c r="B44" s="23" t="str">
        <x:v>vatSys</x:v>
      </x:c>
      <x:c r="C44" s="23" t="str">
        <x:v>Upload or replace vatSys profile</x:v>
      </x:c>
      <x:c r="D44" s="32" t="str">
        <x:v>POST</x:v>
      </x:c>
      <x:c r="E44" s="23" t="str">
        <x:v>/vatsys/profiles/upload</x:v>
      </x:c>
      <x:c r="F44" s="23" t="str">
        <x:v>Denied (Lead only)</x:v>
      </x:c>
      <x:c r="G44" s="23" t="str">
        <x:v>Allowed</x:v>
      </x:c>
      <x:c r="H44" s="23" t="str">
        <x:v>LEAD_DEVELOPER middleware</x:v>
      </x:c>
      <x:c r="I44" s="23" t="str">
        <x:v>X-Vatsim-Token</x:v>
      </x:c>
      <x:c r="J44" s="23" t="str">
        <x:v>Publishes global profile XML</x:v>
      </x:c>
      <x:c r="K44" s="35" t="str">
        <x:v>High</x:v>
      </x:c>
      <x:c r="L44" s="23" t="str">
        <x:v>Keep Lead Developer only or add reviewed publishing workflow.</x:v>
      </x:c>
      <x:c r="M44" s="26" t="str"/>
      <x:c r="N44" s="26" t="str"/>
      <x:c r="O44" s="26" t="str"/>
      <x:c r="P44" s="26" t="str">
        <x:v>Not started</x:v>
      </x:c>
      <x:c r="Q44" s="23" t="str">
        <x:f>IF(M44="","TBD",IF(M44="Keep current","No",IF(M44="Needs discussion","TBD","Likely")))</x:f>
        <x:v>TBD</x:v>
      </x:c>
      <x:c r="R44" s="23" t="str">
        <x:v>src/index.ts:5561</x:v>
      </x:c>
    </x:row>
    <x:row r="45" ht="58" customHeight="1">
      <x:c r="A45" s="29" t="str">
        <x:v>PM-040</x:v>
      </x:c>
      <x:c r="B45" s="23" t="str">
        <x:v>vatSys</x:v>
      </x:c>
      <x:c r="C45" s="23" t="str">
        <x:v>Delete vatSys profile</x:v>
      </x:c>
      <x:c r="D45" s="32" t="str">
        <x:v>DELETE</x:v>
      </x:c>
      <x:c r="E45" s="23" t="str">
        <x:v>/vatsys/profiles/:filename</x:v>
      </x:c>
      <x:c r="F45" s="23" t="str">
        <x:v>Denied (Lead only)</x:v>
      </x:c>
      <x:c r="G45" s="23" t="str">
        <x:v>Allowed</x:v>
      </x:c>
      <x:c r="H45" s="23" t="str">
        <x:v>LEAD_DEVELOPER middleware</x:v>
      </x:c>
      <x:c r="I45" s="23" t="str">
        <x:v>X-Vatsim-Token</x:v>
      </x:c>
      <x:c r="J45" s="23" t="str">
        <x:v>Deletes global profile XML</x:v>
      </x:c>
      <x:c r="K45" s="35" t="str">
        <x:v>High</x:v>
      </x:c>
      <x:c r="L45" s="23" t="str">
        <x:v>Keep Lead Developer only.</x:v>
      </x:c>
      <x:c r="M45" s="26" t="str"/>
      <x:c r="N45" s="26" t="str"/>
      <x:c r="O45" s="26" t="str"/>
      <x:c r="P45" s="26" t="str">
        <x:v>Not started</x:v>
      </x:c>
      <x:c r="Q45" s="23" t="str">
        <x:f>IF(M45="","TBD",IF(M45="Keep current","No",IF(M45="Needs discussion","TBD","Likely")))</x:f>
        <x:v>TBD</x:v>
      </x:c>
      <x:c r="R45" s="23" t="str">
        <x:v>src/index.ts:5604</x:v>
      </x:c>
    </x:row>
    <x:row r="46" ht="58" customHeight="1">
      <x:c r="A46" s="29" t="str">
        <x:v>PM-041</x:v>
      </x:c>
      <x:c r="B46" s="23" t="str">
        <x:v>Installer packages</x:v>
      </x:c>
      <x:c r="C46" s="23" t="str">
        <x:v>Publish BARS data packages</x:v>
      </x:c>
      <x:c r="D46" s="32" t="str">
        <x:v>POST</x:v>
      </x:c>
      <x:c r="E46" s="23" t="str">
        <x:v>/staff/bars-packages/upload</x:v>
      </x:c>
      <x:c r="F46" s="23" t="str">
        <x:v>Denied (Lead only)</x:v>
      </x:c>
      <x:c r="G46" s="23" t="str">
        <x:v>Allowed</x:v>
      </x:c>
      <x:c r="H46" s="23" t="str">
        <x:v>LEAD_DEVELOPER</x:v>
      </x:c>
      <x:c r="I46" s="23" t="str">
        <x:v>X-Vatsim-Token or API-key bearer</x:v>
      </x:c>
      <x:c r="J46" s="23" t="str">
        <x:v>Publishes installer models, removals and X-Plane bridge</x:v>
      </x:c>
      <x:c r="K46" s="35" t="str">
        <x:v>Critical</x:v>
      </x:c>
      <x:c r="L46" s="23" t="str">
        <x:v>Keep Lead Developer only; retain dual auth only if automation requires it.</x:v>
      </x:c>
      <x:c r="M46" s="26" t="str"/>
      <x:c r="N46" s="26" t="str"/>
      <x:c r="O46" s="26" t="str"/>
      <x:c r="P46" s="26" t="str">
        <x:v>Not started</x:v>
      </x:c>
      <x:c r="Q46" s="23" t="str">
        <x:f>IF(M46="","TBD",IF(M46="Keep current","No",IF(M46="Needs discussion","TBD","Likely")))</x:f>
        <x:v>TBD</x:v>
      </x:c>
      <x:c r="R46" s="23" t="str">
        <x:v>src/index.ts:6011</x:v>
      </x:c>
    </x:row>
    <x:row r="47" ht="58" customHeight="1">
      <x:c r="A47" s="29" t="str">
        <x:v>PM-042</x:v>
      </x:c>
      <x:c r="B47" s="23" t="str">
        <x:v>Cache</x:v>
      </x:c>
      <x:c r="C47" s="23" t="str">
        <x:v>Purge one cache key</x:v>
      </x:c>
      <x:c r="D47" s="32" t="str">
        <x:v>POST</x:v>
      </x:c>
      <x:c r="E47" s="23" t="str">
        <x:v>/purge-cache</x:v>
      </x:c>
      <x:c r="F47" s="23" t="str">
        <x:v>Denied (Lead only)</x:v>
      </x:c>
      <x:c r="G47" s="23" t="str">
        <x:v>Allowed</x:v>
      </x:c>
      <x:c r="H47" s="23" t="str">
        <x:v>LEAD_DEVELOPER</x:v>
      </x:c>
      <x:c r="I47" s="23" t="str">
        <x:v>X-Vatsim-Token</x:v>
      </x:c>
      <x:c r="J47" s="23" t="str">
        <x:v>Invalidates a selected cached object</x:v>
      </x:c>
      <x:c r="K47" s="35" t="str">
        <x:v>Medium</x:v>
      </x:c>
      <x:c r="L47" s="23" t="str">
        <x:v>Keep Lead Developer only, or expose narrowly scoped safe cache actions.</x:v>
      </x:c>
      <x:c r="M47" s="26" t="str"/>
      <x:c r="N47" s="26" t="str"/>
      <x:c r="O47" s="26" t="str"/>
      <x:c r="P47" s="26" t="str">
        <x:v>Not started</x:v>
      </x:c>
      <x:c r="Q47" s="23" t="str">
        <x:f>IF(M47="","TBD",IF(M47="Keep current","No",IF(M47="Needs discussion","TBD","Likely")))</x:f>
        <x:v>TBD</x:v>
      </x:c>
      <x:c r="R47" s="23" t="str">
        <x:v>src/index.ts:6288</x:v>
      </x:c>
    </x:row>
    <x:row r="48" ht="58" customHeight="1">
      <x:c r="A48" s="29" t="str">
        <x:v>PM-043</x:v>
      </x:c>
      <x:c r="B48" s="23" t="str">
        <x:v>Cache</x:v>
      </x:c>
      <x:c r="C48" s="23" t="str">
        <x:v>Purge cache namespaces</x:v>
      </x:c>
      <x:c r="D48" s="32" t="str">
        <x:v>POST</x:v>
      </x:c>
      <x:c r="E48" s="23" t="str">
        <x:v>/purge-cache-all</x:v>
      </x:c>
      <x:c r="F48" s="23" t="str">
        <x:v>Denied (Lead only)</x:v>
      </x:c>
      <x:c r="G48" s="23" t="str">
        <x:v>Allowed</x:v>
      </x:c>
      <x:c r="H48" s="23" t="str">
        <x:v>LEAD_DEVELOPER</x:v>
      </x:c>
      <x:c r="I48" s="23" t="str">
        <x:v>X-Vatsim-Token</x:v>
      </x:c>
      <x:c r="J48" s="23" t="str">
        <x:v>Invalidates all or selected cache namespaces</x:v>
      </x:c>
      <x:c r="K48" s="35" t="str">
        <x:v>High</x:v>
      </x:c>
      <x:c r="L48" s="23" t="str">
        <x:v>Keep Lead Developer only.</x:v>
      </x:c>
      <x:c r="M48" s="26" t="str"/>
      <x:c r="N48" s="26" t="str"/>
      <x:c r="O48" s="26" t="str"/>
      <x:c r="P48" s="26" t="str">
        <x:v>Not started</x:v>
      </x:c>
      <x:c r="Q48" s="23" t="str">
        <x:f>IF(M48="","TBD",IF(M48="Keep current","No",IF(M48="Needs discussion","TBD","Likely")))</x:f>
        <x:v>TBD</x:v>
      </x:c>
      <x:c r="R48" s="23" t="str">
        <x:v>src/index.ts:6364</x:v>
      </x:c>
    </x:row>
    <x:row r="49" ht="58" customHeight="1">
      <x:c r="A49" s="29" t="str">
        <x:v>PM-044</x:v>
      </x:c>
      <x:c r="B49" s="23" t="str">
        <x:v>Airport data</x:v>
      </x:c>
      <x:c r="C49" s="23" t="str">
        <x:v>Create point</x:v>
      </x:c>
      <x:c r="D49" s="32" t="str">
        <x:v>POST</x:v>
      </x:c>
      <x:c r="E49" s="23" t="str">
        <x:v>/airports/:icao/points</x:v>
      </x:c>
      <x:c r="F49" s="23" t="str">
        <x:v>No direct staff access</x:v>
      </x:c>
      <x:c r="G49" s="23" t="str">
        <x:v>No direct staff access</x:v>
      </x:c>
      <x:c r="H49" s="23" t="str">
        <x:v>Approved division-airport membership</x:v>
      </x:c>
      <x:c r="I49" s="23" t="str">
        <x:v>X-Vatsim-Token</x:v>
      </x:c>
      <x:c r="J49" s="23" t="str">
        <x:v>Changes operational airport geometry/data</x:v>
      </x:c>
      <x:c r="K49" s="35" t="str">
        <x:v>High</x:v>
      </x:c>
      <x:c r="L49" s="23" t="str">
        <x:v>Keep division-scoped; do not add blanket staff bypass.</x:v>
      </x:c>
      <x:c r="M49" s="26" t="str"/>
      <x:c r="N49" s="26" t="str"/>
      <x:c r="O49" s="26" t="str"/>
      <x:c r="P49" s="26" t="str">
        <x:v>Not started</x:v>
      </x:c>
      <x:c r="Q49" s="23" t="str">
        <x:f>IF(M49="","TBD",IF(M49="Keep current","No",IF(M49="Needs discussion","TBD","Likely")))</x:f>
        <x:v>TBD</x:v>
      </x:c>
      <x:c r="R49" s="23" t="str">
        <x:v>src/index.ts:2754; src/services/points.ts:99</x:v>
      </x:c>
    </x:row>
    <x:row r="50" ht="58" customHeight="1">
      <x:c r="A50" s="29" t="str">
        <x:v>PM-045</x:v>
      </x:c>
      <x:c r="B50" s="23" t="str">
        <x:v>Airport data</x:v>
      </x:c>
      <x:c r="C50" s="23" t="str">
        <x:v>Apply point changeset</x:v>
      </x:c>
      <x:c r="D50" s="32" t="str">
        <x:v>POST</x:v>
      </x:c>
      <x:c r="E50" s="23" t="str">
        <x:v>/airports/:icao/points/batch</x:v>
      </x:c>
      <x:c r="F50" s="23" t="str">
        <x:v>No direct staff access</x:v>
      </x:c>
      <x:c r="G50" s="23" t="str">
        <x:v>No direct staff access</x:v>
      </x:c>
      <x:c r="H50" s="23" t="str">
        <x:v>Approved division membership or automation</x:v>
      </x:c>
      <x:c r="I50" s="23" t="str">
        <x:v>X-Vatsim-Token, API key, or automation key</x:v>
      </x:c>
      <x:c r="J50" s="23" t="str">
        <x:v>Bulk changes operational airport data</x:v>
      </x:c>
      <x:c r="K50" s="35" t="str">
        <x:v>Critical</x:v>
      </x:c>
      <x:c r="L50" s="23" t="str">
        <x:v>Keep division/automation scoped; require transaction-level audit detail.</x:v>
      </x:c>
      <x:c r="M50" s="26" t="str"/>
      <x:c r="N50" s="26" t="str"/>
      <x:c r="O50" s="26" t="str"/>
      <x:c r="P50" s="26" t="str">
        <x:v>Not started</x:v>
      </x:c>
      <x:c r="Q50" s="23" t="str">
        <x:f>IF(M50="","TBD",IF(M50="Keep current","No",IF(M50="Needs discussion","TBD","Likely")))</x:f>
        <x:v>TBD</x:v>
      </x:c>
      <x:c r="R50" s="23" t="str">
        <x:v>src/index.ts:2805; src/services/points.ts:256</x:v>
      </x:c>
    </x:row>
    <x:row r="51" ht="58" customHeight="1">
      <x:c r="A51" s="29" t="str">
        <x:v>PM-046</x:v>
      </x:c>
      <x:c r="B51" s="23" t="str">
        <x:v>Airport data</x:v>
      </x:c>
      <x:c r="C51" s="23" t="str">
        <x:v>Update point</x:v>
      </x:c>
      <x:c r="D51" s="32" t="str">
        <x:v>PUT</x:v>
      </x:c>
      <x:c r="E51" s="23" t="str">
        <x:v>/airports/:icao/points/:id</x:v>
      </x:c>
      <x:c r="F51" s="23" t="str">
        <x:v>No direct staff access</x:v>
      </x:c>
      <x:c r="G51" s="23" t="str">
        <x:v>No direct staff access</x:v>
      </x:c>
      <x:c r="H51" s="23" t="str">
        <x:v>Approved division-airport membership</x:v>
      </x:c>
      <x:c r="I51" s="23" t="str">
        <x:v>X-Vatsim-Token</x:v>
      </x:c>
      <x:c r="J51" s="23" t="str">
        <x:v>Changes operational airport data</x:v>
      </x:c>
      <x:c r="K51" s="35" t="str">
        <x:v>High</x:v>
      </x:c>
      <x:c r="L51" s="23" t="str">
        <x:v>Keep division-scoped.</x:v>
      </x:c>
      <x:c r="M51" s="26" t="str"/>
      <x:c r="N51" s="26" t="str"/>
      <x:c r="O51" s="26" t="str"/>
      <x:c r="P51" s="26" t="str">
        <x:v>Not started</x:v>
      </x:c>
      <x:c r="Q51" s="23" t="str">
        <x:f>IF(M51="","TBD",IF(M51="Keep current","No",IF(M51="Needs discussion","TBD","Likely")))</x:f>
        <x:v>TBD</x:v>
      </x:c>
      <x:c r="R51" s="23" t="str">
        <x:v>src/index.ts:2865; src/services/points.ts:156</x:v>
      </x:c>
    </x:row>
    <x:row r="52" ht="58" customHeight="1">
      <x:c r="A52" s="29" t="str">
        <x:v>PM-047</x:v>
      </x:c>
      <x:c r="B52" s="23" t="str">
        <x:v>Airport data</x:v>
      </x:c>
      <x:c r="C52" s="23" t="str">
        <x:v>Delete point</x:v>
      </x:c>
      <x:c r="D52" s="32" t="str">
        <x:v>DELETE</x:v>
      </x:c>
      <x:c r="E52" s="23" t="str">
        <x:v>/airports/:icao/points/:id</x:v>
      </x:c>
      <x:c r="F52" s="23" t="str">
        <x:v>No direct staff access</x:v>
      </x:c>
      <x:c r="G52" s="23" t="str">
        <x:v>No direct staff access</x:v>
      </x:c>
      <x:c r="H52" s="23" t="str">
        <x:v>Approved division-airport membership</x:v>
      </x:c>
      <x:c r="I52" s="23" t="str">
        <x:v>X-Vatsim-Token</x:v>
      </x:c>
      <x:c r="J52" s="23" t="str">
        <x:v>Deletes operational airport data</x:v>
      </x:c>
      <x:c r="K52" s="35" t="str">
        <x:v>High</x:v>
      </x:c>
      <x:c r="L52" s="23" t="str">
        <x:v>Keep division-scoped.</x:v>
      </x:c>
      <x:c r="M52" s="26" t="str"/>
      <x:c r="N52" s="26" t="str"/>
      <x:c r="O52" s="26" t="str"/>
      <x:c r="P52" s="26" t="str">
        <x:v>Not started</x:v>
      </x:c>
      <x:c r="Q52" s="23" t="str">
        <x:f>IF(M52="","TBD",IF(M52="Keep current","No",IF(M52="Needs discussion","TBD","Likely")))</x:f>
        <x:v>TBD</x:v>
      </x:c>
      <x:c r="R52" s="23" t="str">
        <x:v>src/index.ts:2915; src/services/points.ts:225</x:v>
      </x:c>
    </x:row>
    <x:row r="53" ht="58" customHeight="1">
      <x:c r="A53" s="29" t="str">
        <x:v>PM-048</x:v>
      </x:c>
      <x:c r="B53" s="23" t="str">
        <x:v>Airport data</x:v>
      </x:c>
      <x:c r="C53" s="23" t="str">
        <x:v>Link stopbar and lead-on</x:v>
      </x:c>
      <x:c r="D53" s="32" t="str">
        <x:v>POST</x:v>
      </x:c>
      <x:c r="E53" s="23" t="str">
        <x:v>/airports/:icao/points/:stopbarId/link</x:v>
      </x:c>
      <x:c r="F53" s="23" t="str">
        <x:v>No direct staff access</x:v>
      </x:c>
      <x:c r="G53" s="23" t="str">
        <x:v>No direct staff access</x:v>
      </x:c>
      <x:c r="H53" s="23" t="str">
        <x:v>Approved division-airport membership</x:v>
      </x:c>
      <x:c r="I53" s="23" t="str">
        <x:v>X-Vatsim-Token</x:v>
      </x:c>
      <x:c r="J53" s="23" t="str">
        <x:v>Changes operational link topology</x:v>
      </x:c>
      <x:c r="K53" s="35" t="str">
        <x:v>High</x:v>
      </x:c>
      <x:c r="L53" s="23" t="str">
        <x:v>Keep division-scoped.</x:v>
      </x:c>
      <x:c r="M53" s="26" t="str"/>
      <x:c r="N53" s="26" t="str"/>
      <x:c r="O53" s="26" t="str"/>
      <x:c r="P53" s="26" t="str">
        <x:v>Not started</x:v>
      </x:c>
      <x:c r="Q53" s="23" t="str">
        <x:f>IF(M53="","TBD",IF(M53="Keep current","No",IF(M53="Needs discussion","TBD","Likely")))</x:f>
        <x:v>TBD</x:v>
      </x:c>
      <x:c r="R53" s="23" t="str">
        <x:v>src/index.ts:2990</x:v>
      </x:c>
    </x:row>
    <x:row r="54" ht="58" customHeight="1">
      <x:c r="A54" s="29" t="str">
        <x:v>PM-049</x:v>
      </x:c>
      <x:c r="B54" s="23" t="str">
        <x:v>Airport data</x:v>
      </x:c>
      <x:c r="C54" s="23" t="str">
        <x:v>Remove stopbar/lead-on link</x:v>
      </x:c>
      <x:c r="D54" s="32" t="str">
        <x:v>DELETE</x:v>
      </x:c>
      <x:c r="E54" s="23" t="str">
        <x:v>/airports/:icao/points/:stopbarId/link/:leadOnId</x:v>
      </x:c>
      <x:c r="F54" s="23" t="str">
        <x:v>No direct staff access</x:v>
      </x:c>
      <x:c r="G54" s="23" t="str">
        <x:v>No direct staff access</x:v>
      </x:c>
      <x:c r="H54" s="23" t="str">
        <x:v>Approved division-airport membership</x:v>
      </x:c>
      <x:c r="I54" s="23" t="str">
        <x:v>X-Vatsim-Token</x:v>
      </x:c>
      <x:c r="J54" s="23" t="str">
        <x:v>Changes operational link topology</x:v>
      </x:c>
      <x:c r="K54" s="35" t="str">
        <x:v>High</x:v>
      </x:c>
      <x:c r="L54" s="23" t="str">
        <x:v>Keep division-scoped.</x:v>
      </x:c>
      <x:c r="M54" s="26" t="str"/>
      <x:c r="N54" s="26" t="str"/>
      <x:c r="O54" s="26" t="str"/>
      <x:c r="P54" s="26" t="str">
        <x:v>Not started</x:v>
      </x:c>
      <x:c r="Q54" s="23" t="str">
        <x:f>IF(M54="","TBD",IF(M54="Keep current","No",IF(M54="Needs discussion","TBD","Likely")))</x:f>
        <x:v>TBD</x:v>
      </x:c>
      <x:c r="R54" s="23" t="str">
        <x:v>src/index.ts:3059</x:v>
      </x:c>
    </x:row>
    <x:row r="55" ht="58" customHeight="1">
      <x:c r="A55" s="29" t="str">
        <x:v>PM-050</x:v>
      </x:c>
      <x:c r="B55" s="23" t="str">
        <x:v>Airport data</x:v>
      </x:c>
      <x:c r="C55" s="23" t="str">
        <x:v>Bulk replace links</x:v>
      </x:c>
      <x:c r="D55" s="32" t="str">
        <x:v>POST</x:v>
      </x:c>
      <x:c r="E55" s="23" t="str">
        <x:v>/airports/:icao/links/bulk</x:v>
      </x:c>
      <x:c r="F55" s="23" t="str">
        <x:v>No direct staff access</x:v>
      </x:c>
      <x:c r="G55" s="23" t="str">
        <x:v>No direct staff access</x:v>
      </x:c>
      <x:c r="H55" s="23" t="str">
        <x:v>Approved division-airport membership</x:v>
      </x:c>
      <x:c r="I55" s="23" t="str">
        <x:v>X-Vatsim-Token</x:v>
      </x:c>
      <x:c r="J55" s="23" t="str">
        <x:v>Bulk changes operational link topology</x:v>
      </x:c>
      <x:c r="K55" s="35" t="str">
        <x:v>Critical</x:v>
      </x:c>
      <x:c r="L55" s="23" t="str">
        <x:v>Keep division-scoped and ensure full audit/rollback support.</x:v>
      </x:c>
      <x:c r="M55" s="26" t="str"/>
      <x:c r="N55" s="26" t="str"/>
      <x:c r="O55" s="26" t="str"/>
      <x:c r="P55" s="26" t="str">
        <x:v>Not started</x:v>
      </x:c>
      <x:c r="Q55" s="23" t="str">
        <x:f>IF(M55="","TBD",IF(M55="Keep current","No",IF(M55="Needs discussion","TBD","Likely")))</x:f>
        <x:v>TBD</x:v>
      </x:c>
      <x:c r="R55" s="23" t="str">
        <x:v>src/index.ts:3230</x:v>
      </x:c>
    </x:row>
    <x:row r="56" ht="58" customHeight="1">
      <x:c r="A56" s="29" t="str">
        <x:v>PM-051</x:v>
      </x:c>
      <x:c r="B56" s="23" t="str">
        <x:v>EuroScope</x:v>
      </x:c>
      <x:c r="C56" s="23" t="str">
        <x:v>Upload airport files</x:v>
      </x:c>
      <x:c r="D56" s="32" t="str">
        <x:v>POST</x:v>
      </x:c>
      <x:c r="E56" s="23" t="str">
        <x:v>/euroscope/upload</x:v>
      </x:c>
      <x:c r="F56" s="23" t="str">
        <x:v>No direct staff access</x:v>
      </x:c>
      <x:c r="G56" s="23" t="str">
        <x:v>No direct staff access</x:v>
      </x:c>
      <x:c r="H56" s="23" t="str">
        <x:v>Approved division-airport membership or automation</x:v>
      </x:c>
      <x:c r="I56" s="23" t="str">
        <x:v>X-Vatsim-Token, API key, or automation key</x:v>
      </x:c>
      <x:c r="J56" s="23" t="str">
        <x:v>Publishes controller files for one airport</x:v>
      </x:c>
      <x:c r="K56" s="35" t="str">
        <x:v>High</x:v>
      </x:c>
      <x:c r="L56" s="23" t="str">
        <x:v>Keep division/automation scoped; no blanket staff bypass.</x:v>
      </x:c>
      <x:c r="M56" s="26" t="str"/>
      <x:c r="N56" s="26" t="str"/>
      <x:c r="O56" s="26" t="str"/>
      <x:c r="P56" s="26" t="str">
        <x:v>Not started</x:v>
      </x:c>
      <x:c r="Q56" s="23" t="str">
        <x:f>IF(M56="","TBD",IF(M56="Keep current","No",IF(M56="Needs discussion","TBD","Likely")))</x:f>
        <x:v>TBD</x:v>
      </x:c>
      <x:c r="R56" s="23" t="str">
        <x:v>src/index.ts:5177</x:v>
      </x:c>
    </x:row>
    <x:row r="57" ht="58" customHeight="1">
      <x:c r="A57" s="29" t="str">
        <x:v>PM-052</x:v>
      </x:c>
      <x:c r="B57" s="23" t="str">
        <x:v>EuroScope</x:v>
      </x:c>
      <x:c r="C57" s="23" t="str">
        <x:v>Delete airport file</x:v>
      </x:c>
      <x:c r="D57" s="32" t="str">
        <x:v>DELETE</x:v>
      </x:c>
      <x:c r="E57" s="23" t="str">
        <x:v>/euroscope/files/:icao/:filename</x:v>
      </x:c>
      <x:c r="F57" s="23" t="str">
        <x:v>No direct staff access</x:v>
      </x:c>
      <x:c r="G57" s="23" t="str">
        <x:v>No direct staff access</x:v>
      </x:c>
      <x:c r="H57" s="23" t="str">
        <x:v>Approved division-airport membership or automation</x:v>
      </x:c>
      <x:c r="I57" s="23" t="str">
        <x:v>X-Vatsim-Token, API key, or automation key</x:v>
      </x:c>
      <x:c r="J57" s="23" t="str">
        <x:v>Deletes controller file for one airport</x:v>
      </x:c>
      <x:c r="K57" s="35" t="str">
        <x:v>High</x:v>
      </x:c>
      <x:c r="L57" s="23" t="str">
        <x:v>Keep division/automation scoped.</x:v>
      </x:c>
      <x:c r="M57" s="26" t="str"/>
      <x:c r="N57" s="26" t="str"/>
      <x:c r="O57" s="26" t="str"/>
      <x:c r="P57" s="26" t="str">
        <x:v>Not started</x:v>
      </x:c>
      <x:c r="Q57" s="23" t="str">
        <x:f>IF(M57="","TBD",IF(M57="Keep current","No",IF(M57="Needs discussion","TBD","Likely")))</x:f>
        <x:v>TBD</x:v>
      </x:c>
      <x:c r="R57" s="23" t="str">
        <x:v>src/index.ts:5314</x:v>
      </x:c>
    </x:row>
    <x:row r="58" ht="58" customHeight="1">
      <x:c r="A58" s="29" t="str">
        <x:v>PM-053</x:v>
      </x:c>
      <x:c r="B58" s="23" t="str">
        <x:v>EuroScope</x:v>
      </x:c>
      <x:c r="C58" s="23" t="str">
        <x:v>Check editability</x:v>
      </x:c>
      <x:c r="D58" s="32" t="str">
        <x:v>GET</x:v>
      </x:c>
      <x:c r="E58" s="23" t="str">
        <x:v>/euroscope/:icao/editable</x:v>
      </x:c>
      <x:c r="F58" s="23" t="str">
        <x:v>Authenticated-user access</x:v>
      </x:c>
      <x:c r="G58" s="23" t="str">
        <x:v>Authenticated-user access</x:v>
      </x:c>
      <x:c r="H58" s="23" t="str">
        <x:v>Reports division/automation access; staff role is not considered</x:v>
      </x:c>
      <x:c r="I58" s="23" t="str">
        <x:v>X-Vatsim-Token, API key, or automation key</x:v>
      </x:c>
      <x:c r="J58" s="23" t="str">
        <x:v>Returns permission state only</x:v>
      </x:c>
      <x:c r="K58" s="35" t="str">
        <x:v>Low</x:v>
      </x:c>
      <x:c r="L58" s="23" t="str">
        <x:v>Keep; document that staff status does not grant airport access.</x:v>
      </x:c>
      <x:c r="M58" s="26" t="str"/>
      <x:c r="N58" s="26" t="str"/>
      <x:c r="O58" s="26" t="str"/>
      <x:c r="P58" s="26" t="str">
        <x:v>Not started</x:v>
      </x:c>
      <x:c r="Q58" s="23" t="str">
        <x:f>IF(M58="","TBD",IF(M58="Keep current","No",IF(M58="Needs discussion","TBD","Likely")))</x:f>
        <x:v>TBD</x:v>
      </x:c>
      <x:c r="R58" s="23" t="str">
        <x:v>src/index.ts:5395</x:v>
      </x:c>
    </x:row>
    <x:row r="59" ht="58" customHeight="1">
      <x:c r="A59" s="29" t="str">
        <x:v>PM-054</x:v>
      </x:c>
      <x:c r="B59" s="23" t="str">
        <x:v>Authentication</x:v>
      </x:c>
      <x:c r="C59" s="23" t="str">
        <x:v>Check staff status</x:v>
      </x:c>
      <x:c r="D59" s="32" t="str">
        <x:v>GET</x:v>
      </x:c>
      <x:c r="E59" s="23" t="str">
        <x:v>/auth/is-staff</x:v>
      </x:c>
      <x:c r="F59" s="23" t="str">
        <x:v>Authenticated-user access</x:v>
      </x:c>
      <x:c r="G59" s="23" t="str">
        <x:v>Authenticated-user access</x:v>
      </x:c>
      <x:c r="H59" s="23" t="str">
        <x:v>Any authenticated local user</x:v>
      </x:c>
      <x:c r="I59" s="23" t="str">
        <x:v>Authorization bearer interpreted as VATSIM OAuth token</x:v>
      </x:c>
      <x:c r="J59" s="23" t="str">
        <x:v>Returns isStaff and role</x:v>
      </x:c>
      <x:c r="K59" s="35" t="str">
        <x:v>Medium</x:v>
      </x:c>
      <x:c r="L59" s="23" t="str">
        <x:v>Fix auth documentation/parsing before v2; standardize on shared auth resolver.</x:v>
      </x:c>
      <x:c r="M59" s="26" t="str"/>
      <x:c r="N59" s="26" t="str"/>
      <x:c r="O59" s="26" t="str"/>
      <x:c r="P59" s="26" t="str">
        <x:v>Not started</x:v>
      </x:c>
      <x:c r="Q59" s="23" t="str">
        <x:f>IF(M59="","TBD",IF(M59="Keep current","No",IF(M59="Needs discussion","TBD","Likely")))</x:f>
        <x:v>TBD</x:v>
      </x:c>
      <x:c r="R59" s="23" t="str">
        <x:v>src/index.ts:1528</x:v>
      </x:c>
    </x:row>
    <x:row r="60" ht="58" customHeight="1">
      <x:c r="A60" s="30" t="str">
        <x:v>PM-055</x:v>
      </x:c>
      <x:c r="B60" s="24" t="str">
        <x:v>Controller network</x:v>
      </x:c>
      <x:c r="C60" s="24" t="str">
        <x:v>Open controller WebSocket and send controller packets</x:v>
      </x:c>
      <x:c r="D60" s="33" t="str">
        <x:v>GET/WS</x:v>
      </x:c>
      <x:c r="E60" s="24" t="str">
        <x:v>/connect</x:v>
      </x:c>
      <x:c r="F60" s="24" t="str">
        <x:v>No direct staff access</x:v>
      </x:c>
      <x:c r="G60" s="24" t="str">
        <x:v>No direct staff access</x:v>
      </x:c>
      <x:c r="H60" s="24" t="str">
        <x:v>VATSIM controller/network role</x:v>
      </x:c>
      <x:c r="I60" s="24" t="str">
        <x:v>API-key bearer or key query parameter</x:v>
      </x:c>
      <x:c r="J60" s="24" t="str">
        <x:v>Controls live airport state</x:v>
      </x:c>
      <x:c r="K60" s="36" t="str">
        <x:v>Critical</x:v>
      </x:c>
      <x:c r="L60" s="24" t="str">
        <x:v>Keep network-role scoped; staff status must not grant controller authority.</x:v>
      </x:c>
      <x:c r="M60" s="27" t="str"/>
      <x:c r="N60" s="27" t="str"/>
      <x:c r="O60" s="27" t="str"/>
      <x:c r="P60" s="27" t="str">
        <x:v>Not started</x:v>
      </x:c>
      <x:c r="Q60" s="24" t="str">
        <x:f>IF(M60="","TBD",IF(M60="Keep current","No",IF(M60="Needs discussion","TBD","Likely")))</x:f>
        <x:v>TBD</x:v>
      </x:c>
      <x:c r="R60" s="24" t="str">
        <x:v>src/index.ts:912; src/network/connection.ts:1337</x:v>
      </x:c>
    </x:row>
  </x:sheetData>
  <x:mergeCells>
    <x:mergeCell ref="A1:R1"/>
    <x:mergeCell ref="A2:R2"/>
    <x:mergeCell ref="A3:R3"/>
  </x:mergeCells>
  <x:conditionalFormatting sqref="K6:K60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  <x:cfRule type="containsText" dxfId="3" priority="4" operator="containsText" text="Low"/>
  </x:conditionalFormatting>
  <x:conditionalFormatting sqref="M6:M60">
    <x:cfRule type="containsText" dxfId="4" priority="5" operator="containsText" text="Allow"/>
    <x:cfRule type="containsText" dxfId="5" priority="6" operator="containsText" text="Deny"/>
    <x:cfRule type="containsText" dxfId="6" priority="7" operator="containsText" text="Conditional"/>
    <x:cfRule type="containsText" dxfId="7" priority="8" operator="containsText" text="Needs discussion"/>
    <x:cfRule type="containsText" dxfId="8" priority="9" operator="containsText" text="Keep current"/>
  </x:conditionalFormatting>
  <x:conditionalFormatting sqref="P6:P60">
    <x:cfRule type="containsText" dxfId="9" priority="10" operator="containsText" text="Agreed"/>
    <x:cfRule type="containsText" dxfId="10" priority="11" operator="containsText" text="In review"/>
    <x:cfRule type="containsText" dxfId="11" priority="12" operator="containsText" text="Deferred"/>
  </x:conditionalFormatting>
  <x:dataValidations count="2">
    <x:dataValidation type="list" sqref="M6:M60">
      <x:formula1>"Keep current,Allow,Deny,Conditional,Needs discussion"</x:formula1>
    </x:dataValidation>
    <x:dataValidation type="list" sqref="P6:P60">
      <x:formula1>"Not started,In review,Agreed,Deferred"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65aa74aec874ac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42" hidden="0" customWidth="1"/>
    <x:col min="4" max="4" width="42" hidden="0" customWidth="1"/>
    <x:col min="5" max="5" width="42" hidden="0" customWidth="1"/>
    <x:col min="6" max="6" width="38" hidden="0" customWidth="1"/>
    <x:col min="7" max="7" width="36" hidden="0" customWidth="1"/>
    <x:col min="8" max="8" width="20" hidden="0" customWidth="1"/>
  </x:cols>
  <x:sheetData>
    <x:row r="1" ht="36" customHeight="1">
      <x:c r="A1" s="3" t="str">
        <x:v>Current Authorization Model and Audit Findings</x:v>
      </x:c>
      <x:c r="B1" s="3"/>
      <x:c r="C1" s="3"/>
      <x:c r="D1" s="3"/>
      <x:c r="E1" s="3"/>
      <x:c r="F1" s="3"/>
      <x:c r="G1" s="3"/>
      <x:c r="H1" s="3"/>
    </x:row>
    <x:row r="3">
      <x:c r="A3" s="11" t="str">
        <x:v>Role</x:v>
      </x:c>
      <x:c r="B3" s="11" t="str">
        <x:v>Stored value</x:v>
      </x:c>
      <x:c r="C3" s="11" t="str">
        <x:v>Hierarchy score</x:v>
      </x:c>
      <x:c r="D3" s="11" t="str">
        <x:v>Effective behavior</x:v>
      </x:c>
    </x:row>
    <x:row r="4" ht="42" customHeight="1">
      <x:c r="A4" s="104" t="str">
        <x:v>Lead Developer</x:v>
      </x:c>
      <x:c r="B4" s="101" t="str">
        <x:v>LEAD_DEVELOPER</x:v>
      </x:c>
      <x:c r="C4" s="101" t="n">
        <x:v>999</x:v>
      </x:c>
      <x:c r="D4" s="101" t="str">
        <x:v>Inherits every Product Manager permission plus Lead-only operations</x:v>
      </x:c>
    </x:row>
    <x:row r="5" ht="42" customHeight="1">
      <x:c r="A5" s="105" t="str">
        <x:v>Product Manager</x:v>
      </x:c>
      <x:c r="B5" s="102" t="str">
        <x:v>PRODUCT_MANAGER</x:v>
      </x:c>
      <x:c r="C5" s="102" t="n">
        <x:v>500</x:v>
      </x:c>
      <x:c r="D5" s="102" t="str">
        <x:v>Global product, user, division, content, release and CDN administration</x:v>
      </x:c>
    </x:row>
    <x:row r="6" ht="42" customHeight="1">
      <x:c r="A6" s="105" t="str">
        <x:v>Division Head</x:v>
      </x:c>
      <x:c r="B6" s="102" t="str">
        <x:v>nav_head</x:v>
      </x:c>
      <x:c r="C6" s="102"/>
      <x:c r="D6" s="102" t="str">
        <x:v>Division-scoped membership and airport authority; not a staff role</x:v>
      </x:c>
    </x:row>
    <x:row r="7" ht="42" customHeight="1">
      <x:c r="A7" s="106" t="str">
        <x:v>Division Member</x:v>
      </x:c>
      <x:c r="B7" s="103" t="str">
        <x:v>nav_member</x:v>
      </x:c>
      <x:c r="C7" s="103"/>
      <x:c r="D7" s="103" t="str">
        <x:v>Division-scoped airport data authority; not a staff role</x:v>
      </x:c>
    </x:row>
    <x:row r="10">
      <x:c r="A10" s="69" t="str">
        <x:v>Severity</x:v>
      </x:c>
      <x:c r="B10" s="69" t="str">
        <x:v>Finding</x:v>
      </x:c>
      <x:c r="C10" s="69" t="str">
        <x:v>Current consequence</x:v>
      </x:c>
      <x:c r="D10" s="69" t="str">
        <x:v>Decision required</x:v>
      </x:c>
      <x:c r="E10" s="69" t="str">
        <x:v>Suggested control</x:v>
      </x:c>
      <x:c r="F10" s="69" t="str">
        <x:v>Primary endpoint</x:v>
      </x:c>
      <x:c r="G10" s="69" t="str">
        <x:v>Source</x:v>
      </x:c>
      <x:c r="H10" s="69" t="str">
        <x:v>v2 disposition</x:v>
      </x:c>
    </x:row>
    <x:row r="11" ht="62" customHeight="1">
      <x:c r="A11" s="101" t="str">
        <x:v>Critical</x:v>
      </x:c>
      <x:c r="B11" s="101" t="str">
        <x:v>Product Manager can delete Lead Developer accounts</x:v>
      </x:c>
      <x:c r="C11" s="101" t="str">
        <x:v>Bypasses final-lead safeguard and can remove the last Lead Developer</x:v>
      </x:c>
      <x:c r="D11" s="101" t="str">
        <x:v>Should PM ever delete staff or privileged accounts?</x:v>
      </x:c>
      <x:c r="E11" s="101" t="str">
        <x:v>Lead-only, target-role comparison, atomic final-lead protection</x:v>
      </x:c>
      <x:c r="F11" s="101" t="str">
        <x:v>DELETE /staff/users/:id</x:v>
      </x:c>
      <x:c r="G11" s="101" t="str">
        <x:v>src/services/users.ts:163; src/services/auth.ts:203</x:v>
      </x:c>
      <x:c r="H11" s="101" t="str">
        <x:v>Open</x:v>
      </x:c>
    </x:row>
    <x:row r="12" ht="62" customHeight="1">
      <x:c r="A12" s="102" t="str">
        <x:v>High</x:v>
      </x:c>
      <x:c r="B12" s="102" t="str">
        <x:v>Product Manager can rotate any user's API key</x:v>
      </x:c>
      <x:c r="C12" s="102" t="str">
        <x:v>Forced credential invalidation, including Lead Developer credentials</x:v>
      </x:c>
      <x:c r="D12" s="102" t="str">
        <x:v>Is this help-desk function PM-owned?</x:v>
      </x:c>
      <x:c r="E12" s="102" t="str">
        <x:v>Lead-only or prevent equal/higher target; explicit audit event</x:v>
      </x:c>
      <x:c r="F12" s="102" t="str">
        <x:v>POST /staff/users/refresh-api-token</x:v>
      </x:c>
      <x:c r="G12" s="102" t="str">
        <x:v>src/services/users.ts:197</x:v>
      </x:c>
      <x:c r="H12" s="102" t="str">
        <x:v>Open</x:v>
      </x:c>
    </x:row>
    <x:row r="13" ht="62" customHeight="1">
      <x:c r="A13" s="102" t="str">
        <x:v>High</x:v>
      </x:c>
      <x:c r="B13" s="102" t="str">
        <x:v>Any staff role receives global CDN write/delete</x:v>
      </x:c>
      <x:c r="C13" s="102" t="str">
        <x:v>Future lower staff roles would inherit destructive storage access</x:v>
      </x:c>
      <x:c r="D13" s="102" t="str">
        <x:v>Should PM manage arbitrary R2 keys?</x:v>
      </x:c>
      <x:c r="E13" s="102" t="str">
        <x:v>Explicit capability and path allowlist</x:v>
      </x:c>
      <x:c r="F13" s="102" t="str">
        <x:v>/cdn/*</x:v>
      </x:c>
      <x:c r="G13" s="102" t="str">
        <x:v>src/index.ts:4829-5018</x:v>
      </x:c>
      <x:c r="H13" s="102" t="str">
        <x:v>Open</x:v>
      </x:c>
    </x:row>
    <x:row r="14" ht="62" customHeight="1">
      <x:c r="A14" s="102" t="str">
        <x:v>Medium</x:v>
      </x:c>
      <x:c r="B14" s="102" t="str">
        <x:v>Staff role contract is inconsistent</x:v>
      </x:c>
      <x:c r="C14" s="102" t="str">
        <x:v>Runtime uppercase values conflict with lowercase shared type; DB has no role CHECK</x:v>
      </x:c>
      <x:c r="D14" s="102" t="str">
        <x:v>Adopt one canonical contract?</x:v>
      </x:c>
      <x:c r="E14" s="102" t="str">
        <x:v>Canonical enum, DB constraint, migration and tests</x:v>
      </x:c>
      <x:c r="F14" s="102" t="str">
        <x:v>RoleService / staff table</x:v>
      </x:c>
      <x:c r="G14" s="102" t="str">
        <x:v>src/services/roles.ts:1; src/types.ts:56; schema.sql:20</x:v>
      </x:c>
      <x:c r="H14" s="102" t="str">
        <x:v>Open</x:v>
      </x:c>
    </x:row>
    <x:row r="15" ht="62" customHeight="1">
      <x:c r="A15" s="102" t="str">
        <x:v>Medium</x:v>
      </x:c>
      <x:c r="B15" s="102" t="str">
        <x:v>Contribution authorization hardcodes role strings</x:v>
      </x:c>
      <x:c r="C15" s="102" t="str">
        <x:v>New roles or hierarchy changes may drift from contribution behavior</x:v>
      </x:c>
      <x:c r="D15" s="102" t="str">
        <x:v>Centralize capability checks?</x:v>
      </x:c>
      <x:c r="E15" s="102" t="str">
        <x:v>Use RoleService or shared policy middleware</x:v>
      </x:c>
      <x:c r="F15" s="102" t="str">
        <x:v>/contributions/:id/*</x:v>
      </x:c>
      <x:c r="G15" s="102" t="str">
        <x:v>src/services/contributions.ts:190</x:v>
      </x:c>
      <x:c r="H15" s="102" t="str">
        <x:v>Open</x:v>
      </x:c>
    </x:row>
    <x:row r="16" ht="62" customHeight="1">
      <x:c r="A16" s="103" t="str">
        <x:v>Medium</x:v>
      </x:c>
      <x:c r="B16" s="103" t="str">
        <x:v>Staff-status auth contract is misleading</x:v>
      </x:c>
      <x:c r="C16" s="103" t="str">
        <x:v>ApiKeyAuth documentation does not match VATSIM-token parsing</x:v>
      </x:c>
      <x:c r="D16" s="103" t="str">
        <x:v>Which credential should the endpoint support?</x:v>
      </x:c>
      <x:c r="E16" s="103" t="str">
        <x:v>Use shared resolver and update OpenAPI</x:v>
      </x:c>
      <x:c r="F16" s="103" t="str">
        <x:v>GET /auth/is-staff</x:v>
      </x:c>
      <x:c r="G16" s="103" t="str">
        <x:v>src/index.ts:1528</x:v>
      </x:c>
      <x:c r="H16" s="103" t="str">
        <x:v>Open</x:v>
      </x:c>
    </x:row>
    <x:row r="19">
      <x:c r="A19" s="11" t="str">
        <x:v>Authentication label</x:v>
      </x:c>
      <x:c r="B19" s="11" t="str">
        <x:v>Header / credential</x:v>
      </x:c>
      <x:c r="C19" s="11" t="str">
        <x:v>Used by</x:v>
      </x:c>
      <x:c r="D19" s="11" t="str">
        <x:v>Audit note</x:v>
      </x:c>
    </x:row>
    <x:row r="20" ht="48" customHeight="1">
      <x:c r="A20" s="104" t="str">
        <x:v>VATSIM OAuth</x:v>
      </x:c>
      <x:c r="B20" s="101" t="str">
        <x:v>X-Vatsim-Token</x:v>
      </x:c>
      <x:c r="C20" s="101" t="str">
        <x:v>Most staff endpoints</x:v>
      </x:c>
      <x:c r="D20" s="101" t="str">
        <x:v>Primary interactive staff authentication</x:v>
      </x:c>
    </x:row>
    <x:row r="21" ht="48" customHeight="1">
      <x:c r="A21" s="105" t="str">
        <x:v>User API key</x:v>
      </x:c>
      <x:c r="B21" s="102" t="str">
        <x:v>Authorization: Bearer BARS_...</x:v>
      </x:c>
      <x:c r="C21" s="102" t="str">
        <x:v>Package upload and selected editor/generator routes</x:v>
      </x:c>
      <x:c r="D21" s="102" t="str">
        <x:v>Only package upload accepts this for a Lead-only staff operation</x:v>
      </x:c>
    </x:row>
    <x:row r="22" ht="48" customHeight="1">
      <x:c r="A22" s="105" t="str">
        <x:v>Division automation</x:v>
      </x:c>
      <x:c r="B22" s="102" t="str">
        <x:v>Authorization bearer matching DIVISION_DATA_API_KEY</x:v>
      </x:c>
      <x:c r="C22" s="102" t="str">
        <x:v>Point batch and EuroScope workflows</x:v>
      </x:c>
      <x:c r="D22" s="102" t="str">
        <x:v>Non-human automation authority, not a staff role</x:v>
      </x:c>
    </x:row>
    <x:row r="23" ht="48" customHeight="1">
      <x:c r="A23" s="106" t="str">
        <x:v>Staff-status special case</x:v>
      </x:c>
      <x:c r="B23" s="103" t="str">
        <x:v>Authorization: Bearer &lt;VATSIM OAuth token&gt;</x:v>
      </x:c>
      <x:c r="C23" s="103" t="str">
        <x:v>GET /auth/is-staff</x:v>
      </x:c>
      <x:c r="D23" s="103" t="str">
        <x:v>Documentation/parsing does not follow the normal contract</x:v>
      </x:c>
    </x:row>
  </x:sheetData>
  <x:mergeCells>
    <x:mergeCell ref="A1:H1"/>
  </x:mergeCells>
  <x:conditionalFormatting sqref="A11:A16">
    <x:cfRule type="containsText" dxfId="12" priority="1" operator="containsText" text="Critical"/>
    <x:cfRule type="containsText" dxfId="13" priority="2" operator="containsText" text="High"/>
    <x:cfRule type="containsText" dxfId="14" priority="3" operator="containsText" text="Medium"/>
  </x:conditionalFormatting>
  <x:dataValidations count="1">
    <x:dataValidation type="list" sqref="H11:H16">
      <x:formula1>"Open,Accepted risk,Fix before v2,Post-v2"</x:formula1>
    </x:dataValidation>
  </x:dataValidations>
  <x:pageMargins left="0.7" right="0.7" top="0.75" bottom="0.75" header="0.3" footer="0.3"/>
</x:worksheet>
</file>